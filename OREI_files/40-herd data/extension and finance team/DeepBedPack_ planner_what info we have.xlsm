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drawings/drawing5.xml" ContentType="application/vnd.openxmlformats-officedocument.drawing+xml"/>
  <Override PartName="/xl/comments3.xml" ContentType="application/vnd.openxmlformats-officedocument.spreadsheetml.comments+xml"/>
  <Override PartName="/xl/drawings/drawing6.xml" ContentType="application/vnd.openxmlformats-officedocument.drawing+xml"/>
  <Override PartName="/xl/ctrlProps/ctrlProp1.xml" ContentType="application/vnd.ms-excel.controlproperties+xml"/>
  <Override PartName="/xl/drawings/drawing7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2730" codeName="{B08E4597-CF32-672E-EC9B-63DB714DCB7F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d.docs.live.net/c792ef73e4c0296d/Documents/OREI/40-herd data/extension and finance team/"/>
    </mc:Choice>
  </mc:AlternateContent>
  <xr:revisionPtr revIDLastSave="0" documentId="8_{4EB89DF0-52C0-4CAD-A429-566DA604B37E}" xr6:coauthVersionLast="45" xr6:coauthVersionMax="45" xr10:uidLastSave="{00000000-0000-0000-0000-000000000000}"/>
  <bookViews>
    <workbookView xWindow="-110" yWindow="-110" windowWidth="19420" windowHeight="10420" xr2:uid="{00000000-000D-0000-FFFF-FFFF00000000}"/>
  </bookViews>
  <sheets>
    <sheet name="edited_sheet1" sheetId="12" r:id="rId1"/>
    <sheet name="Title" sheetId="1" r:id="rId2"/>
    <sheet name="Overview" sheetId="10" r:id="rId3"/>
    <sheet name="Inventory" sheetId="2" r:id="rId4"/>
    <sheet name="DeepBP_Facility" sheetId="3" r:id="rId5"/>
    <sheet name="DeepBP_Material" sheetId="4" r:id="rId6"/>
    <sheet name="DeepBP-L_Facility" sheetId="8" r:id="rId7"/>
    <sheet name="DeepBP-L_Material" sheetId="11" r:id="rId8"/>
    <sheet name="File_Report" sheetId="7" r:id="rId9"/>
    <sheet name="Data" sheetId="5" r:id="rId10"/>
    <sheet name="RefTable" sheetId="6" r:id="rId11"/>
  </sheets>
  <functionGroups builtInGroupCount="19"/>
  <definedNames>
    <definedName name="_xlnm._FilterDatabase" localSheetId="9" hidden="1">Data!$A$6:$J$40</definedName>
    <definedName name="_xlnm._FilterDatabase" localSheetId="10" hidden="1">Data!#REF!</definedName>
    <definedName name="data">RefTable!$C$9:$I$43</definedName>
    <definedName name="dd_primary">RefTable!$A$9:$A$19</definedName>
    <definedName name="dd_secondary">RefTable!$C$8:$I$43</definedName>
    <definedName name="_xlnm.Print_Area" localSheetId="5">DeepBP_Material!$A$1:$L$67</definedName>
    <definedName name="_xlnm.Print_Area" localSheetId="7">'DeepBP-L_Material'!$A$1:$L$67</definedName>
    <definedName name="_xlnm.Print_Area" localSheetId="8">File_Report!$A$1:$P$69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N145" i="5" l="1"/>
  <c r="N140" i="5"/>
  <c r="N135" i="5"/>
  <c r="N123" i="5"/>
  <c r="N113" i="5"/>
  <c r="N108" i="5"/>
  <c r="N104" i="5"/>
  <c r="N99" i="5"/>
  <c r="H50" i="11"/>
  <c r="H49" i="11"/>
  <c r="H48" i="11"/>
  <c r="H47" i="11"/>
  <c r="J47" i="11" s="1"/>
  <c r="L44" i="7" s="1"/>
  <c r="H46" i="11"/>
  <c r="H45" i="11"/>
  <c r="H44" i="11"/>
  <c r="H43" i="11"/>
  <c r="J43" i="11" s="1"/>
  <c r="G50" i="11"/>
  <c r="G49" i="11"/>
  <c r="G48" i="11"/>
  <c r="G47" i="11"/>
  <c r="G46" i="11"/>
  <c r="G45" i="11"/>
  <c r="G44" i="11"/>
  <c r="F50" i="11"/>
  <c r="F49" i="11"/>
  <c r="F48" i="11"/>
  <c r="F47" i="11"/>
  <c r="F46" i="11"/>
  <c r="F45" i="11"/>
  <c r="F44" i="11"/>
  <c r="G43" i="11"/>
  <c r="F43" i="11"/>
  <c r="H50" i="4"/>
  <c r="H49" i="4"/>
  <c r="H48" i="4"/>
  <c r="H47" i="4"/>
  <c r="H46" i="4"/>
  <c r="H45" i="4"/>
  <c r="H44" i="4"/>
  <c r="G50" i="4"/>
  <c r="G49" i="4"/>
  <c r="G48" i="4"/>
  <c r="G47" i="4"/>
  <c r="G46" i="4"/>
  <c r="K46" i="4" s="1"/>
  <c r="G45" i="4"/>
  <c r="G44" i="4"/>
  <c r="F50" i="4"/>
  <c r="F49" i="4"/>
  <c r="F48" i="4"/>
  <c r="F47" i="4"/>
  <c r="F46" i="4"/>
  <c r="F45" i="4"/>
  <c r="F44" i="4"/>
  <c r="H43" i="4"/>
  <c r="G43" i="4"/>
  <c r="F43" i="4"/>
  <c r="A8" i="7"/>
  <c r="A41" i="7"/>
  <c r="A42" i="7"/>
  <c r="A43" i="7"/>
  <c r="A44" i="7"/>
  <c r="A45" i="7"/>
  <c r="A46" i="7"/>
  <c r="A47" i="7"/>
  <c r="A40" i="7"/>
  <c r="I41" i="7"/>
  <c r="I42" i="7"/>
  <c r="I43" i="7"/>
  <c r="I44" i="7"/>
  <c r="I45" i="7"/>
  <c r="I46" i="7"/>
  <c r="I47" i="7"/>
  <c r="I40" i="7"/>
  <c r="J50" i="11"/>
  <c r="L47" i="7" s="1"/>
  <c r="K50" i="11"/>
  <c r="L50" i="11" s="1"/>
  <c r="D50" i="11"/>
  <c r="C50" i="11"/>
  <c r="J49" i="11"/>
  <c r="L46" i="7" s="1"/>
  <c r="K49" i="11"/>
  <c r="D49" i="11"/>
  <c r="C49" i="11"/>
  <c r="J48" i="11"/>
  <c r="L45" i="7" s="1"/>
  <c r="K48" i="11"/>
  <c r="D48" i="11"/>
  <c r="C48" i="11"/>
  <c r="K47" i="11"/>
  <c r="L47" i="11" s="1"/>
  <c r="D47" i="11"/>
  <c r="C47" i="11"/>
  <c r="J46" i="11"/>
  <c r="L43" i="7" s="1"/>
  <c r="K46" i="11"/>
  <c r="D46" i="11"/>
  <c r="C46" i="11"/>
  <c r="J45" i="11"/>
  <c r="L42" i="7" s="1"/>
  <c r="K45" i="11"/>
  <c r="D45" i="11"/>
  <c r="C45" i="11"/>
  <c r="L45" i="11" s="1"/>
  <c r="J44" i="11"/>
  <c r="L41" i="7" s="1"/>
  <c r="K44" i="11"/>
  <c r="D44" i="11"/>
  <c r="C44" i="11"/>
  <c r="K43" i="11"/>
  <c r="K51" i="11" s="1"/>
  <c r="D43" i="11"/>
  <c r="C43" i="11"/>
  <c r="B32" i="2"/>
  <c r="C23" i="3"/>
  <c r="C23" i="8"/>
  <c r="L46" i="11"/>
  <c r="L44" i="11"/>
  <c r="D44" i="4"/>
  <c r="D45" i="4"/>
  <c r="D46" i="4"/>
  <c r="D47" i="4"/>
  <c r="D48" i="4"/>
  <c r="D49" i="4"/>
  <c r="D50" i="4"/>
  <c r="C44" i="4"/>
  <c r="C45" i="4"/>
  <c r="C46" i="4"/>
  <c r="C47" i="4"/>
  <c r="C48" i="4"/>
  <c r="C49" i="4"/>
  <c r="C50" i="4"/>
  <c r="D43" i="4"/>
  <c r="C43" i="4"/>
  <c r="K48" i="4"/>
  <c r="J48" i="4"/>
  <c r="D45" i="7"/>
  <c r="J44" i="4"/>
  <c r="D41" i="7"/>
  <c r="J45" i="4"/>
  <c r="D42" i="7"/>
  <c r="J46" i="4"/>
  <c r="D43" i="7" s="1"/>
  <c r="J47" i="4"/>
  <c r="D44" i="7"/>
  <c r="J49" i="4"/>
  <c r="D46" i="7" s="1"/>
  <c r="J50" i="4"/>
  <c r="D47" i="7" s="1"/>
  <c r="J43" i="4"/>
  <c r="D40" i="7" s="1"/>
  <c r="K44" i="4"/>
  <c r="K45" i="4"/>
  <c r="K47" i="4"/>
  <c r="K49" i="4"/>
  <c r="K50" i="4"/>
  <c r="K43" i="4"/>
  <c r="M84" i="5"/>
  <c r="J84" i="5"/>
  <c r="M83" i="5"/>
  <c r="J83" i="5"/>
  <c r="M82" i="5"/>
  <c r="J82" i="5"/>
  <c r="C37" i="8"/>
  <c r="G52" i="8"/>
  <c r="C34" i="8"/>
  <c r="G18" i="2" a="1"/>
  <c r="G18" i="2" s="1"/>
  <c r="G39" i="8"/>
  <c r="C26" i="8"/>
  <c r="B26" i="8"/>
  <c r="D26" i="8" s="1" a="1"/>
  <c r="D26" i="8" s="1"/>
  <c r="A26" i="8"/>
  <c r="C25" i="8"/>
  <c r="B25" i="8"/>
  <c r="A25" i="8"/>
  <c r="D25" i="8" s="1" a="1"/>
  <c r="D25" i="8" s="1"/>
  <c r="C24" i="8"/>
  <c r="B24" i="8"/>
  <c r="A24" i="8"/>
  <c r="B23" i="8"/>
  <c r="D23" i="8" s="1" a="1"/>
  <c r="D23" i="8" s="1"/>
  <c r="F23" i="8" s="1"/>
  <c r="A23" i="8"/>
  <c r="C22" i="8"/>
  <c r="B22" i="8"/>
  <c r="A22" i="8"/>
  <c r="D22" i="8" s="1" a="1"/>
  <c r="D22" i="8" s="1"/>
  <c r="F22" i="8" s="1"/>
  <c r="C21" i="8"/>
  <c r="B21" i="8"/>
  <c r="A21" i="8"/>
  <c r="G13" i="8"/>
  <c r="B13" i="8"/>
  <c r="A13" i="8"/>
  <c r="G12" i="8"/>
  <c r="B12" i="8"/>
  <c r="A12" i="8"/>
  <c r="G11" i="8"/>
  <c r="B11" i="8"/>
  <c r="A11" i="8"/>
  <c r="E11" i="8" s="1" a="1"/>
  <c r="E11" i="8" s="1"/>
  <c r="G10" i="8"/>
  <c r="B10" i="8"/>
  <c r="A10" i="8"/>
  <c r="G9" i="8"/>
  <c r="B9" i="8"/>
  <c r="E9" i="8" s="1" a="1"/>
  <c r="E9" i="8" s="1"/>
  <c r="A9" i="8"/>
  <c r="G8" i="8"/>
  <c r="B8" i="8"/>
  <c r="F8" i="8" s="1" a="1"/>
  <c r="F8" i="8" s="1"/>
  <c r="A8" i="8"/>
  <c r="E13" i="8" a="1"/>
  <c r="E13" i="8" s="1"/>
  <c r="F25" i="8"/>
  <c r="D9" i="8" a="1"/>
  <c r="D9" i="8" s="1"/>
  <c r="D24" i="8" a="1"/>
  <c r="D24" i="8"/>
  <c r="F24" i="8" s="1"/>
  <c r="F26" i="8"/>
  <c r="D10" i="8" a="1"/>
  <c r="D10" i="8" s="1"/>
  <c r="D13" i="8" a="1"/>
  <c r="D13" i="8" s="1"/>
  <c r="F13" i="8" a="1"/>
  <c r="F13" i="8" s="1"/>
  <c r="F9" i="8" a="1"/>
  <c r="F9" i="8" s="1"/>
  <c r="E10" i="8" a="1"/>
  <c r="E10" i="8" s="1"/>
  <c r="F10" i="8" a="1"/>
  <c r="F10" i="8"/>
  <c r="D21" i="8" a="1"/>
  <c r="D21" i="8" s="1"/>
  <c r="F21" i="8" s="1"/>
  <c r="J20" i="7"/>
  <c r="J21" i="7"/>
  <c r="J22" i="7"/>
  <c r="J23" i="7"/>
  <c r="J24" i="7"/>
  <c r="J19" i="7"/>
  <c r="E21" i="7"/>
  <c r="E22" i="7"/>
  <c r="E23" i="7"/>
  <c r="E24" i="7"/>
  <c r="E20" i="7"/>
  <c r="E19" i="7"/>
  <c r="C20" i="7"/>
  <c r="C21" i="7"/>
  <c r="C22" i="7"/>
  <c r="C23" i="7"/>
  <c r="C24" i="7"/>
  <c r="C19" i="7"/>
  <c r="I13" i="7"/>
  <c r="I11" i="7"/>
  <c r="C13" i="7"/>
  <c r="C12" i="7"/>
  <c r="C11" i="7"/>
  <c r="L44" i="4"/>
  <c r="L45" i="4"/>
  <c r="L47" i="4"/>
  <c r="L48" i="4"/>
  <c r="L49" i="4"/>
  <c r="L50" i="4"/>
  <c r="L43" i="4"/>
  <c r="J51" i="4"/>
  <c r="C22" i="3"/>
  <c r="C24" i="3"/>
  <c r="C25" i="3"/>
  <c r="C26" i="3"/>
  <c r="C21" i="3"/>
  <c r="B22" i="3"/>
  <c r="D22" i="3" s="1" a="1"/>
  <c r="D22" i="3" s="1"/>
  <c r="B23" i="3"/>
  <c r="B24" i="3"/>
  <c r="B25" i="3"/>
  <c r="B26" i="3"/>
  <c r="B21" i="3"/>
  <c r="A22" i="3"/>
  <c r="A23" i="3"/>
  <c r="A24" i="3"/>
  <c r="A25" i="3"/>
  <c r="D25" i="3" s="1" a="1"/>
  <c r="D25" i="3" s="1"/>
  <c r="A26" i="3"/>
  <c r="A21" i="3"/>
  <c r="A8" i="3"/>
  <c r="G39" i="3"/>
  <c r="G9" i="3"/>
  <c r="G10" i="3"/>
  <c r="G11" i="3"/>
  <c r="G12" i="3"/>
  <c r="G13" i="3"/>
  <c r="G8" i="3"/>
  <c r="I19" i="7"/>
  <c r="D21" i="3" a="1"/>
  <c r="D21" i="3" s="1"/>
  <c r="E21" i="3" s="1"/>
  <c r="B9" i="3"/>
  <c r="B10" i="3"/>
  <c r="B11" i="3"/>
  <c r="B12" i="3"/>
  <c r="B13" i="3"/>
  <c r="B8" i="3"/>
  <c r="A9" i="3"/>
  <c r="D9" i="3" s="1" a="1"/>
  <c r="D9" i="3" s="1"/>
  <c r="A10" i="3"/>
  <c r="E10" i="3" s="1" a="1"/>
  <c r="E10" i="3" s="1"/>
  <c r="A11" i="3"/>
  <c r="D11" i="3" s="1" a="1"/>
  <c r="D11" i="3" s="1"/>
  <c r="A12" i="3"/>
  <c r="A13" i="3"/>
  <c r="D13" i="3" s="1" a="1"/>
  <c r="D13" i="3" s="1"/>
  <c r="B31" i="2"/>
  <c r="B33" i="2"/>
  <c r="B34" i="2"/>
  <c r="B35" i="2"/>
  <c r="B30" i="2"/>
  <c r="E12" i="3" a="1"/>
  <c r="E12" i="3" s="1"/>
  <c r="D12" i="3" a="1"/>
  <c r="D12" i="3" s="1"/>
  <c r="F12" i="3" a="1"/>
  <c r="F12" i="3" s="1"/>
  <c r="F11" i="3" a="1"/>
  <c r="F11" i="3" s="1"/>
  <c r="F13" i="3" a="1"/>
  <c r="F13" i="3" s="1"/>
  <c r="F8" i="3" a="1"/>
  <c r="F8" i="3" s="1"/>
  <c r="E9" i="3" a="1"/>
  <c r="E9" i="3" s="1"/>
  <c r="G19" i="2" a="1"/>
  <c r="G19" i="2" s="1"/>
  <c r="I20" i="7" s="1"/>
  <c r="G20" i="2" a="1"/>
  <c r="G20" i="2" s="1"/>
  <c r="I21" i="7" s="1"/>
  <c r="G21" i="2" a="1"/>
  <c r="G21" i="2" s="1"/>
  <c r="I22" i="7" s="1"/>
  <c r="G22" i="2" a="1"/>
  <c r="G22" i="2" s="1"/>
  <c r="G23" i="2" a="1"/>
  <c r="G23" i="2" s="1"/>
  <c r="I24" i="7" s="1"/>
  <c r="L11" i="6"/>
  <c r="O11" i="6" s="1" a="1"/>
  <c r="O11" i="6" s="1"/>
  <c r="L10" i="6"/>
  <c r="P10" i="6" s="1" a="1"/>
  <c r="P10" i="6" s="1"/>
  <c r="L9" i="6"/>
  <c r="Q9" i="6" s="1" a="1"/>
  <c r="Q9" i="6" s="1"/>
  <c r="O9" i="6" a="1"/>
  <c r="O9" i="6" s="1"/>
  <c r="L8" i="6"/>
  <c r="O8" i="6" s="1" a="1"/>
  <c r="O8" i="6" s="1"/>
  <c r="L7" i="6"/>
  <c r="U7" i="6" s="1" a="1"/>
  <c r="U7" i="6" s="1"/>
  <c r="L6" i="6"/>
  <c r="R6" i="6" s="1" a="1"/>
  <c r="R6" i="6" s="1"/>
  <c r="Q11" i="6" a="1"/>
  <c r="Q11" i="6" s="1"/>
  <c r="N7" i="6" a="1"/>
  <c r="N7" i="6" s="1"/>
  <c r="S7" i="6" a="1"/>
  <c r="S7" i="6" s="1"/>
  <c r="U11" i="6" a="1"/>
  <c r="U11" i="6" s="1"/>
  <c r="N11" i="6" a="1"/>
  <c r="N11" i="6" s="1"/>
  <c r="T8" i="6" a="1"/>
  <c r="T8" i="6" s="1"/>
  <c r="S8" i="6" a="1"/>
  <c r="S8" i="6" s="1"/>
  <c r="Q8" i="6" a="1"/>
  <c r="Q8" i="6" s="1"/>
  <c r="N9" i="6" a="1"/>
  <c r="N9" i="6" s="1"/>
  <c r="R9" i="6" a="1"/>
  <c r="R9" i="6"/>
  <c r="U9" i="6" a="1"/>
  <c r="U9" i="6" s="1"/>
  <c r="T9" i="6" a="1"/>
  <c r="T9" i="6" s="1"/>
  <c r="P9" i="6" a="1"/>
  <c r="P9" i="6" s="1"/>
  <c r="S9" i="6" a="1"/>
  <c r="S9" i="6" s="1"/>
  <c r="R8" i="6" a="1"/>
  <c r="R8" i="6" s="1"/>
  <c r="O7" i="6" a="1"/>
  <c r="O7" i="6" s="1"/>
  <c r="R7" i="6" a="1"/>
  <c r="R7" i="6" s="1"/>
  <c r="T6" i="6" a="1"/>
  <c r="T6" i="6" s="1"/>
  <c r="W6" i="6" a="1"/>
  <c r="W6" i="6" s="1"/>
  <c r="N6" i="6" a="1"/>
  <c r="N6" i="6" s="1"/>
  <c r="V6" i="6" a="1"/>
  <c r="V6" i="6"/>
  <c r="U6" i="6" a="1"/>
  <c r="U6" i="6" s="1"/>
  <c r="O6" i="6" a="1"/>
  <c r="O6" i="6" s="1"/>
  <c r="P6" i="6" a="1"/>
  <c r="P6" i="6" s="1"/>
  <c r="I23" i="2"/>
  <c r="K23" i="2" s="1"/>
  <c r="I21" i="2"/>
  <c r="K21" i="2" s="1"/>
  <c r="I20" i="2"/>
  <c r="K20" i="2" s="1"/>
  <c r="C10" i="3" s="1"/>
  <c r="I19" i="2"/>
  <c r="K19" i="2" s="1"/>
  <c r="C9" i="8" s="1"/>
  <c r="I18" i="2"/>
  <c r="K18" i="2" s="1"/>
  <c r="L8" i="2"/>
  <c r="I9" i="8" l="1"/>
  <c r="I20" i="8" s="1"/>
  <c r="I32" i="8" s="1"/>
  <c r="I44" i="8" s="1"/>
  <c r="G57" i="8" s="1"/>
  <c r="H9" i="8"/>
  <c r="H20" i="8" s="1"/>
  <c r="H32" i="8" s="1"/>
  <c r="H44" i="8" s="1"/>
  <c r="C10" i="8"/>
  <c r="I10" i="8" s="1"/>
  <c r="I21" i="8" s="1"/>
  <c r="I33" i="8" s="1"/>
  <c r="I45" i="8" s="1"/>
  <c r="G58" i="8" s="1"/>
  <c r="R11" i="6" a="1"/>
  <c r="R11" i="6" s="1"/>
  <c r="F9" i="3" a="1"/>
  <c r="F9" i="3" s="1"/>
  <c r="D26" i="3" a="1"/>
  <c r="D26" i="3" s="1"/>
  <c r="L43" i="11"/>
  <c r="L51" i="11" s="1"/>
  <c r="J63" i="11" s="1"/>
  <c r="E13" i="3" a="1"/>
  <c r="E13" i="3" s="1"/>
  <c r="D23" i="3" a="1"/>
  <c r="D23" i="3" s="1"/>
  <c r="E23" i="3" s="1"/>
  <c r="L48" i="11"/>
  <c r="D24" i="3" a="1"/>
  <c r="D24" i="3" s="1"/>
  <c r="E24" i="3" s="1"/>
  <c r="E22" i="3"/>
  <c r="E28" i="3" s="1"/>
  <c r="K51" i="4"/>
  <c r="E11" i="3" a="1"/>
  <c r="E11" i="3" s="1"/>
  <c r="E26" i="3"/>
  <c r="E25" i="3"/>
  <c r="L49" i="11"/>
  <c r="I58" i="8"/>
  <c r="C13" i="3"/>
  <c r="C13" i="8"/>
  <c r="C8" i="8"/>
  <c r="C8" i="3"/>
  <c r="C11" i="8"/>
  <c r="C11" i="3"/>
  <c r="Q10" i="6" a="1"/>
  <c r="Q10" i="6" s="1"/>
  <c r="I57" i="8"/>
  <c r="I10" i="3"/>
  <c r="I21" i="3" s="1"/>
  <c r="I33" i="3" s="1"/>
  <c r="I45" i="3" s="1"/>
  <c r="H10" i="8"/>
  <c r="H21" i="8" s="1"/>
  <c r="H33" i="8" s="1"/>
  <c r="H45" i="8" s="1"/>
  <c r="F28" i="8"/>
  <c r="N10" i="6" a="1"/>
  <c r="N10" i="6" s="1"/>
  <c r="U10" i="6" a="1"/>
  <c r="U10" i="6" s="1"/>
  <c r="R10" i="6" a="1"/>
  <c r="R10" i="6" s="1"/>
  <c r="T10" i="6" a="1"/>
  <c r="T10" i="6" s="1"/>
  <c r="S10" i="6" a="1"/>
  <c r="S10" i="6" s="1"/>
  <c r="O10" i="6" a="1"/>
  <c r="O10" i="6" s="1"/>
  <c r="I23" i="7"/>
  <c r="I22" i="2"/>
  <c r="K22" i="2" s="1"/>
  <c r="L40" i="7"/>
  <c r="J51" i="11"/>
  <c r="C9" i="3"/>
  <c r="D10" i="3" a="1"/>
  <c r="D10" i="3" s="1"/>
  <c r="H10" i="3" s="1"/>
  <c r="H21" i="3" s="1"/>
  <c r="H33" i="3" s="1"/>
  <c r="H45" i="3" s="1"/>
  <c r="D8" i="3" a="1"/>
  <c r="D8" i="3" s="1"/>
  <c r="E8" i="3" a="1"/>
  <c r="E8" i="3" s="1"/>
  <c r="Q6" i="6" a="1"/>
  <c r="Q6" i="6" s="1"/>
  <c r="S6" i="6" a="1"/>
  <c r="S6" i="6" s="1"/>
  <c r="F10" i="3" a="1"/>
  <c r="F10" i="3" s="1"/>
  <c r="L46" i="4"/>
  <c r="L51" i="4" s="1"/>
  <c r="J63" i="4" s="1"/>
  <c r="J62" i="11"/>
  <c r="D52" i="11"/>
  <c r="J80" i="11" s="1"/>
  <c r="J81" i="11" s="1"/>
  <c r="E8" i="8" a="1"/>
  <c r="E8" i="8" s="1"/>
  <c r="D8" i="8" a="1"/>
  <c r="D8" i="8" s="1"/>
  <c r="D11" i="8" a="1"/>
  <c r="D11" i="8" s="1"/>
  <c r="F11" i="8" a="1"/>
  <c r="F11" i="8" s="1"/>
  <c r="D12" i="8" a="1"/>
  <c r="D12" i="8" s="1"/>
  <c r="E12" i="8" a="1"/>
  <c r="E12" i="8" s="1"/>
  <c r="F12" i="8" a="1"/>
  <c r="F12" i="8" s="1"/>
  <c r="U8" i="6" a="1"/>
  <c r="U8" i="6" s="1"/>
  <c r="N8" i="6" a="1"/>
  <c r="N8" i="6" s="1"/>
  <c r="P8" i="6" a="1"/>
  <c r="P8" i="6" s="1"/>
  <c r="S11" i="6" a="1"/>
  <c r="S11" i="6" s="1"/>
  <c r="P11" i="6" a="1"/>
  <c r="P11" i="6" s="1"/>
  <c r="P7" i="6" a="1"/>
  <c r="P7" i="6" s="1"/>
  <c r="T7" i="6" a="1"/>
  <c r="T7" i="6" s="1"/>
  <c r="Q7" i="6" a="1"/>
  <c r="Q7" i="6" s="1"/>
  <c r="T11" i="6" a="1"/>
  <c r="T11" i="6" s="1"/>
  <c r="J62" i="4" l="1"/>
  <c r="F79" i="4" s="1"/>
  <c r="F81" i="4" s="1"/>
  <c r="D52" i="4"/>
  <c r="J80" i="4" s="1"/>
  <c r="J81" i="4" s="1"/>
  <c r="F79" i="11"/>
  <c r="F81" i="11" s="1"/>
  <c r="J45" i="3"/>
  <c r="H57" i="8"/>
  <c r="J57" i="8" s="1"/>
  <c r="J44" i="8"/>
  <c r="J45" i="8"/>
  <c r="H58" i="8"/>
  <c r="J58" i="8" s="1"/>
  <c r="H8" i="8"/>
  <c r="H19" i="8" s="1"/>
  <c r="H31" i="8" s="1"/>
  <c r="H43" i="8" s="1"/>
  <c r="I8" i="8"/>
  <c r="I19" i="8" s="1"/>
  <c r="I31" i="8" s="1"/>
  <c r="I43" i="8" s="1"/>
  <c r="H11" i="3"/>
  <c r="H22" i="3" s="1"/>
  <c r="H34" i="3" s="1"/>
  <c r="H46" i="3" s="1"/>
  <c r="J46" i="3" s="1"/>
  <c r="I11" i="3"/>
  <c r="I22" i="3" s="1"/>
  <c r="I34" i="3" s="1"/>
  <c r="I46" i="3" s="1"/>
  <c r="H13" i="8"/>
  <c r="H24" i="8" s="1"/>
  <c r="H36" i="8" s="1"/>
  <c r="H48" i="8" s="1"/>
  <c r="I13" i="8"/>
  <c r="I24" i="8" s="1"/>
  <c r="I36" i="8" s="1"/>
  <c r="I48" i="8" s="1"/>
  <c r="H9" i="3"/>
  <c r="H20" i="3" s="1"/>
  <c r="H32" i="3" s="1"/>
  <c r="H44" i="3" s="1"/>
  <c r="J44" i="3" s="1"/>
  <c r="I9" i="3"/>
  <c r="I20" i="3" s="1"/>
  <c r="I32" i="3" s="1"/>
  <c r="I44" i="3" s="1"/>
  <c r="C12" i="8"/>
  <c r="C12" i="3"/>
  <c r="O26" i="7"/>
  <c r="D29" i="11"/>
  <c r="E29" i="11" s="1"/>
  <c r="H29" i="11" s="1"/>
  <c r="H11" i="8"/>
  <c r="H22" i="8" s="1"/>
  <c r="H34" i="8" s="1"/>
  <c r="H46" i="8" s="1"/>
  <c r="I11" i="8"/>
  <c r="I22" i="8" s="1"/>
  <c r="I34" i="8" s="1"/>
  <c r="I46" i="8" s="1"/>
  <c r="H13" i="3"/>
  <c r="H24" i="3" s="1"/>
  <c r="H36" i="3" s="1"/>
  <c r="H48" i="3" s="1"/>
  <c r="J48" i="3" s="1"/>
  <c r="I13" i="3"/>
  <c r="I24" i="3" s="1"/>
  <c r="I36" i="3" s="1"/>
  <c r="I48" i="3" s="1"/>
  <c r="G26" i="7"/>
  <c r="D29" i="4"/>
  <c r="E29" i="4" s="1"/>
  <c r="H29" i="4" s="1"/>
  <c r="F80" i="4"/>
  <c r="I8" i="3"/>
  <c r="I19" i="3" s="1"/>
  <c r="I31" i="3" s="1"/>
  <c r="I43" i="3" s="1"/>
  <c r="H8" i="3"/>
  <c r="H19" i="3" s="1"/>
  <c r="H31" i="3" s="1"/>
  <c r="H43" i="3" s="1"/>
  <c r="F80" i="11" l="1"/>
  <c r="G56" i="8"/>
  <c r="I56" i="8" s="1"/>
  <c r="I12" i="8"/>
  <c r="I23" i="8" s="1"/>
  <c r="I35" i="8" s="1"/>
  <c r="I47" i="8" s="1"/>
  <c r="H12" i="8"/>
  <c r="H23" i="8" s="1"/>
  <c r="H35" i="8" s="1"/>
  <c r="H47" i="8" s="1"/>
  <c r="I29" i="4"/>
  <c r="J29" i="4"/>
  <c r="H12" i="3"/>
  <c r="H23" i="3" s="1"/>
  <c r="H35" i="3" s="1"/>
  <c r="H47" i="3" s="1"/>
  <c r="J47" i="3" s="1"/>
  <c r="I12" i="3"/>
  <c r="I23" i="3" s="1"/>
  <c r="I35" i="3" s="1"/>
  <c r="I47" i="3" s="1"/>
  <c r="I49" i="3" s="1"/>
  <c r="C31" i="7" s="1"/>
  <c r="G61" i="8"/>
  <c r="I61" i="8"/>
  <c r="J46" i="8"/>
  <c r="H59" i="8"/>
  <c r="J59" i="8" s="1"/>
  <c r="J29" i="11"/>
  <c r="I29" i="11"/>
  <c r="G59" i="8"/>
  <c r="I59" i="8" s="1"/>
  <c r="J43" i="3"/>
  <c r="H49" i="3"/>
  <c r="J48" i="8"/>
  <c r="H61" i="8"/>
  <c r="J61" i="8" s="1"/>
  <c r="J43" i="8"/>
  <c r="H56" i="8"/>
  <c r="J56" i="8" s="1"/>
  <c r="H49" i="8"/>
  <c r="H62" i="8" s="1"/>
  <c r="G60" i="8" l="1"/>
  <c r="I60" i="8" s="1"/>
  <c r="J59" i="4"/>
  <c r="A31" i="7"/>
  <c r="K69" i="11"/>
  <c r="N42" i="7" s="1"/>
  <c r="N37" i="7"/>
  <c r="J49" i="3"/>
  <c r="I49" i="8"/>
  <c r="K69" i="4"/>
  <c r="F42" i="7" s="1"/>
  <c r="F37" i="7"/>
  <c r="I31" i="7"/>
  <c r="J59" i="11"/>
  <c r="H60" i="8"/>
  <c r="J60" i="8" s="1"/>
  <c r="J62" i="8" s="1"/>
  <c r="J47" i="8"/>
  <c r="J49" i="8" s="1"/>
  <c r="M31" i="7" l="1"/>
  <c r="J60" i="11"/>
  <c r="H66" i="11" s="1" a="1"/>
  <c r="H66" i="11" s="1"/>
  <c r="E31" i="7"/>
  <c r="J60" i="4"/>
  <c r="H66" i="4" s="1" a="1"/>
  <c r="H66" i="4" s="1"/>
  <c r="G62" i="8"/>
  <c r="K33" i="7" s="1"/>
  <c r="I62" i="8"/>
  <c r="K31" i="7" s="1"/>
  <c r="F75" i="4" l="1"/>
  <c r="F45" i="7"/>
  <c r="H67" i="4"/>
  <c r="F76" i="4"/>
  <c r="F77" i="4"/>
  <c r="H67" i="11"/>
  <c r="N45" i="7"/>
  <c r="F75" i="11"/>
  <c r="F77" i="11" l="1"/>
  <c r="F76" i="11"/>
  <c r="F83" i="11" s="1"/>
  <c r="N47" i="7" s="1"/>
  <c r="F83" i="4"/>
  <c r="F47" i="7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Bredeweg, Sally - NRCS, Portland, OR</author>
  </authors>
  <commentList>
    <comment ref="F27" authorId="0" shapeId="0" xr:uid="{00000000-0006-0000-0400-000001000000}">
      <text>
        <r>
          <rPr>
            <sz val="9"/>
            <color indexed="81"/>
            <rFont val="Tahoma"/>
            <family val="2"/>
          </rPr>
          <t xml:space="preserve">Use 420 lbs/CY unless better data is available. Dry wood chip weight estimated from Forest Service 2013 paper on wood chip transport.   </t>
        </r>
      </text>
    </comment>
    <comment ref="G27" authorId="0" shapeId="0" xr:uid="{00000000-0006-0000-0400-000002000000}">
      <text>
        <r>
          <rPr>
            <sz val="9"/>
            <color indexed="81"/>
            <rFont val="Tahoma"/>
            <family val="2"/>
          </rPr>
          <t>Use $5/CY unless better data is available.  This bulk cost was based on equine facilities costs.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Bredeweg, Sally - NRCS, Portland, OR</author>
  </authors>
  <commentList>
    <comment ref="E18" authorId="0" shapeId="0" xr:uid="{00000000-0006-0000-0500-000001000000}">
      <text>
        <r>
          <rPr>
            <sz val="9"/>
            <color indexed="81"/>
            <rFont val="Tahoma"/>
            <family val="2"/>
          </rPr>
          <t>This area will be scraped into a designed manure storage area. With alley feeding the pack space required per animal is reduced accordingly. Initial est. for feed alley is 12 ft</t>
        </r>
        <r>
          <rPr>
            <vertAlign val="superscript"/>
            <sz val="9"/>
            <color indexed="81"/>
            <rFont val="Tahoma"/>
            <family val="2"/>
          </rPr>
          <t>2</t>
        </r>
        <r>
          <rPr>
            <sz val="9"/>
            <color indexed="81"/>
            <rFont val="Tahoma"/>
            <family val="2"/>
          </rPr>
          <t xml:space="preserve"> per livestock head (can be revised).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Bredeweg, Sally - NRCS, Portland, OR</author>
  </authors>
  <commentList>
    <comment ref="F27" authorId="0" shapeId="0" xr:uid="{00000000-0006-0000-0600-000001000000}">
      <text>
        <r>
          <rPr>
            <sz val="9"/>
            <color indexed="81"/>
            <rFont val="Tahoma"/>
            <family val="2"/>
          </rPr>
          <t xml:space="preserve">Use 420 lbs/CY unless better data is available. Dry wood chip weight estimated from Forest Service 2013 paper on wood chip transport.   </t>
        </r>
      </text>
    </comment>
    <comment ref="G27" authorId="0" shapeId="0" xr:uid="{00000000-0006-0000-0600-000002000000}">
      <text>
        <r>
          <rPr>
            <sz val="9"/>
            <color indexed="81"/>
            <rFont val="Tahoma"/>
            <family val="2"/>
          </rPr>
          <t>Use $5/CY unless better data is available.  This bulk cost was based on equine facilities costs.</t>
        </r>
      </text>
    </comment>
  </commentList>
</comments>
</file>

<file path=xl/sharedStrings.xml><?xml version="1.0" encoding="utf-8"?>
<sst xmlns="http://schemas.openxmlformats.org/spreadsheetml/2006/main" count="1053" uniqueCount="590">
  <si>
    <t>Animal Data</t>
  </si>
  <si>
    <r>
      <rPr>
        <sz val="11"/>
        <color rgb="FF000000"/>
        <rFont val="Calibri"/>
        <family val="2"/>
        <scheme val="minor"/>
      </rPr>
      <t>Min. pack space per animal,</t>
    </r>
    <r>
      <rPr>
        <b/>
        <sz val="11"/>
        <color rgb="FF000000"/>
        <rFont val="Calibri"/>
        <family val="2"/>
        <scheme val="minor"/>
      </rPr>
      <t xml:space="preserve"> ft</t>
    </r>
    <r>
      <rPr>
        <b/>
        <vertAlign val="superscript"/>
        <sz val="11"/>
        <color rgb="FF000000"/>
        <rFont val="Calibri"/>
        <family val="2"/>
        <scheme val="minor"/>
      </rPr>
      <t>2</t>
    </r>
    <r>
      <rPr>
        <b/>
        <sz val="11"/>
        <color rgb="FF000000"/>
        <rFont val="Calibri"/>
        <family val="2"/>
        <scheme val="minor"/>
      </rPr>
      <t>/animal</t>
    </r>
    <r>
      <rPr>
        <sz val="10"/>
        <color theme="1"/>
        <rFont val="Calibri"/>
        <family val="2"/>
        <scheme val="minor"/>
      </rPr>
      <t xml:space="preserve"> </t>
    </r>
  </si>
  <si>
    <t>Look up data</t>
  </si>
  <si>
    <t>Feces and Urine, Total</t>
  </si>
  <si>
    <t>Manure for 1000 lb. A.U.</t>
  </si>
  <si>
    <t>Animal Type</t>
  </si>
  <si>
    <t>Description</t>
  </si>
  <si>
    <t>Wt., lb./day</t>
  </si>
  <si>
    <r>
      <t>Vol, Ft</t>
    </r>
    <r>
      <rPr>
        <b/>
        <vertAlign val="superscript"/>
        <sz val="10"/>
        <rFont val="Arial"/>
        <family val="2"/>
      </rPr>
      <t>3</t>
    </r>
    <r>
      <rPr>
        <b/>
        <sz val="10"/>
        <rFont val="Arial"/>
        <family val="2"/>
      </rPr>
      <t>/day</t>
    </r>
  </si>
  <si>
    <t>%MC</t>
  </si>
  <si>
    <t>Beef</t>
  </si>
  <si>
    <t>Cow and growing calf</t>
  </si>
  <si>
    <t>Backgrounding (Calf 6 to 12 mo.)</t>
  </si>
  <si>
    <t>Finishing</t>
  </si>
  <si>
    <t>Horse</t>
  </si>
  <si>
    <t>Sedentary</t>
  </si>
  <si>
    <t>Llama</t>
  </si>
  <si>
    <t>Swine</t>
  </si>
  <si>
    <t>Boar</t>
  </si>
  <si>
    <t>Gestating Sow</t>
  </si>
  <si>
    <t>Gilt</t>
  </si>
  <si>
    <t>Grower</t>
  </si>
  <si>
    <t>Lactating Sow</t>
  </si>
  <si>
    <t>Nursery Pig</t>
  </si>
  <si>
    <t>Goat</t>
  </si>
  <si>
    <t xml:space="preserve">Lactating </t>
  </si>
  <si>
    <t>Dry (pregnant)</t>
  </si>
  <si>
    <t>Kids</t>
  </si>
  <si>
    <t>Sheep</t>
  </si>
  <si>
    <t>Lamb (Market)</t>
  </si>
  <si>
    <t>Reference Sources</t>
  </si>
  <si>
    <t>NRCS National Engineering Handbook, Agricultural Waste Management Field Handbook, Chapter 4, Agricultural Waste Characteristics</t>
  </si>
  <si>
    <t>Midwest Plan Service, Manure Management System Series, MWPS-18, Section 1</t>
  </si>
  <si>
    <t>Quantifying Nutrients from Goats and Sheep in the Chesapeake Bay Watershed, ASABE Technical Note, 2010</t>
  </si>
  <si>
    <t>Manure nutrient excretion by Jersey and Holstein cows, K. F. Knowlton, V. A. Wilkerson, D. P. Casper, and D. R. Mertens, J. Dairy Sci. 93:407-412, 2010</t>
  </si>
  <si>
    <t>PIA Piggery Size Calculator; Adam Reed, PIA Agronomist, Honolulu, HI</t>
  </si>
  <si>
    <t>Recommended space 
requirements for piggeries*</t>
  </si>
  <si>
    <t>Weight of Pig</t>
  </si>
  <si>
    <r>
      <t>Min Space Req. (ft</t>
    </r>
    <r>
      <rPr>
        <vertAlign val="superscript"/>
        <sz val="11"/>
        <color indexed="8"/>
        <rFont val="Calibri"/>
        <family val="2"/>
      </rPr>
      <t>2</t>
    </r>
    <r>
      <rPr>
        <sz val="11"/>
        <color theme="1"/>
        <rFont val="Calibri"/>
        <family val="2"/>
        <scheme val="minor"/>
      </rPr>
      <t>/hd)</t>
    </r>
  </si>
  <si>
    <t>Sow Gestating</t>
  </si>
  <si>
    <t>Sow Lactating**</t>
  </si>
  <si>
    <t>*Adapted from the University of Florida ExtensionPublication RFAA082 and MWPS8 Iowa State.</t>
  </si>
  <si>
    <t>**Most Typical size for farrowing and lactating sows in PIA.</t>
  </si>
  <si>
    <t>Bulletin #1021, Space Planning for Small Multiprupose Livestock Barns,</t>
  </si>
  <si>
    <t>By, Extension Professor Donna Coffin, University of Maine, 2013</t>
  </si>
  <si>
    <t>Bedding Material</t>
  </si>
  <si>
    <t>Corn Stover</t>
  </si>
  <si>
    <t>Leaves (fall dry)</t>
  </si>
  <si>
    <t>Shredded Brush</t>
  </si>
  <si>
    <t xml:space="preserve">Straw (wheat) </t>
  </si>
  <si>
    <t>DEEP-BED-PACK</t>
  </si>
  <si>
    <t>LIVESTOCK FACILITY PLANNER</t>
  </si>
  <si>
    <t>Location:</t>
  </si>
  <si>
    <t>Landowner Name:</t>
  </si>
  <si>
    <t>Cooperator Information</t>
  </si>
  <si>
    <t>Planner:</t>
  </si>
  <si>
    <t>NRCS Staff Initials</t>
  </si>
  <si>
    <t>Date of Plan:</t>
  </si>
  <si>
    <t>Project/Farm Name:</t>
  </si>
  <si>
    <t>Lb. milk per year</t>
  </si>
  <si>
    <t>Lb. milk per day</t>
  </si>
  <si>
    <t>Days lactating cow</t>
  </si>
  <si>
    <t>Calculate dairy cow milk production on a daily basis for planning purposes</t>
  </si>
  <si>
    <t xml:space="preserve">   How to Convert: lb. milk per yr. into lb. milk per day</t>
  </si>
  <si>
    <t xml:space="preserve">   * Lactation period typically 305 days per year</t>
  </si>
  <si>
    <t xml:space="preserve">   (Dry period period typically 60 days during final gestation)</t>
  </si>
  <si>
    <t xml:space="preserve">           Lb. milk per yr./ 305 days = avg. lb. milk per day </t>
  </si>
  <si>
    <t>Data entry cell</t>
  </si>
  <si>
    <t>From the drop down lists select the type and description of animals planned for housing in the bedded pack facility</t>
  </si>
  <si>
    <t>Number of animals</t>
  </si>
  <si>
    <t>Animal Units = 1000 lb A.U.</t>
  </si>
  <si>
    <t>Total Weight</t>
  </si>
  <si>
    <t>A.U. of Animal Type</t>
  </si>
  <si>
    <t>Weight, Lb.</t>
  </si>
  <si>
    <t>Lactating - 40 lb milk/d</t>
  </si>
  <si>
    <t>Lactating - 30 lb milk/d</t>
  </si>
  <si>
    <t>Lactating - 45 lb milk/d</t>
  </si>
  <si>
    <t>Lactating - 50 lb milk/d</t>
  </si>
  <si>
    <t>Lactating - 60 lb milk/d</t>
  </si>
  <si>
    <t>Lactating - 75 lb milk/d</t>
  </si>
  <si>
    <t>Lactating - 100 lb milk/d</t>
  </si>
  <si>
    <t>Lactating - 125 lb milk/d</t>
  </si>
  <si>
    <t>Dairy, Holstein</t>
  </si>
  <si>
    <t>Dry Cow (pregnant)</t>
  </si>
  <si>
    <t>Calves (&lt; 6 months)</t>
  </si>
  <si>
    <t>Dairy, Jersey</t>
  </si>
  <si>
    <t>Heifer (6 - 18 months)</t>
  </si>
  <si>
    <t>Animal Weight, typical LBS</t>
  </si>
  <si>
    <t>Goat (milking)</t>
  </si>
  <si>
    <t>LBS</t>
  </si>
  <si>
    <t>Animal Weight</t>
  </si>
  <si>
    <t>Space</t>
  </si>
  <si>
    <t>tbl_primary</t>
  </si>
  <si>
    <t>tbl_secondary</t>
  </si>
  <si>
    <t>Animals</t>
  </si>
  <si>
    <t xml:space="preserve">Data Validation </t>
  </si>
  <si>
    <t>INDEX MATCH</t>
  </si>
  <si>
    <t>A18</t>
  </si>
  <si>
    <t>cell</t>
  </si>
  <si>
    <t>data</t>
  </si>
  <si>
    <t>Dairy, Holstein, milking</t>
  </si>
  <si>
    <t>Dairy, Jersey, milking</t>
  </si>
  <si>
    <t>Goat, milking</t>
  </si>
  <si>
    <t>Description 1</t>
  </si>
  <si>
    <t>Description 2</t>
  </si>
  <si>
    <t>Description 3</t>
  </si>
  <si>
    <t>Description 4</t>
  </si>
  <si>
    <t>Description 5</t>
  </si>
  <si>
    <t>Description 6</t>
  </si>
  <si>
    <t>Description 7</t>
  </si>
  <si>
    <t>Description 8</t>
  </si>
  <si>
    <t>A19</t>
  </si>
  <si>
    <t>A20</t>
  </si>
  <si>
    <t>A21</t>
  </si>
  <si>
    <t>A22</t>
  </si>
  <si>
    <t>A23</t>
  </si>
  <si>
    <t>Inventory</t>
  </si>
  <si>
    <t>Note: References to manure produced and contained in this facility - includes both urine and feces</t>
  </si>
  <si>
    <t>Manure WT. lb./day/AU</t>
  </si>
  <si>
    <r>
      <t>Manure VOL.   Ft</t>
    </r>
    <r>
      <rPr>
        <b/>
        <vertAlign val="superscript"/>
        <sz val="10"/>
        <color theme="1"/>
        <rFont val="Arial"/>
        <family val="2"/>
      </rPr>
      <t>3</t>
    </r>
    <r>
      <rPr>
        <b/>
        <sz val="10"/>
        <color theme="1"/>
        <rFont val="Arial"/>
        <family val="2"/>
      </rPr>
      <t>/day/AU</t>
    </r>
  </si>
  <si>
    <t>Manure,     %MC</t>
  </si>
  <si>
    <t>Hrs per day on pack</t>
  </si>
  <si>
    <t>Manure Weight, Lb/day, Total</t>
  </si>
  <si>
    <r>
      <t>Manure Volume, Ft</t>
    </r>
    <r>
      <rPr>
        <b/>
        <vertAlign val="superscript"/>
        <sz val="11"/>
        <color theme="1"/>
        <rFont val="Calibri"/>
        <family val="2"/>
        <scheme val="minor"/>
      </rPr>
      <t>3</t>
    </r>
    <r>
      <rPr>
        <b/>
        <sz val="11"/>
        <color theme="1"/>
        <rFont val="Calibri"/>
        <family val="2"/>
        <scheme val="minor"/>
      </rPr>
      <t>/day, Total</t>
    </r>
  </si>
  <si>
    <t>Animal Units, (AU)</t>
  </si>
  <si>
    <t xml:space="preserve"> Animals</t>
  </si>
  <si>
    <t>How many hours per day will the animals be on the pack area?</t>
  </si>
  <si>
    <t>Identify the relative number of hours per day each animal type will be confined on the pack.</t>
  </si>
  <si>
    <t>Hrs/day</t>
  </si>
  <si>
    <t>Hours/day input list</t>
  </si>
  <si>
    <t>What is the maximum number of months planned for the animals in the facility?</t>
  </si>
  <si>
    <t>Months/yr.</t>
  </si>
  <si>
    <t>Months/yr. input list</t>
  </si>
  <si>
    <t>DAILY MANURE</t>
  </si>
  <si>
    <t>WEEKLY MANURE</t>
  </si>
  <si>
    <r>
      <t>Manure Volume, Ft</t>
    </r>
    <r>
      <rPr>
        <b/>
        <vertAlign val="superscript"/>
        <sz val="11"/>
        <color theme="1"/>
        <rFont val="Calibri"/>
        <family val="2"/>
        <scheme val="minor"/>
      </rPr>
      <t>3</t>
    </r>
    <r>
      <rPr>
        <b/>
        <sz val="11"/>
        <color theme="1"/>
        <rFont val="Calibri"/>
        <family val="2"/>
        <scheme val="minor"/>
      </rPr>
      <t>/wk, Total</t>
    </r>
  </si>
  <si>
    <t>Manure Weight, Lb/wk, Total</t>
  </si>
  <si>
    <t>MONTHLY MANURE</t>
  </si>
  <si>
    <t>Manure Weight, Lb/mo, Total</t>
  </si>
  <si>
    <r>
      <t>Manure Volume, Ft</t>
    </r>
    <r>
      <rPr>
        <b/>
        <vertAlign val="superscript"/>
        <sz val="11"/>
        <color theme="1"/>
        <rFont val="Calibri"/>
        <family val="2"/>
        <scheme val="minor"/>
      </rPr>
      <t>3</t>
    </r>
    <r>
      <rPr>
        <b/>
        <sz val="11"/>
        <color theme="1"/>
        <rFont val="Calibri"/>
        <family val="2"/>
        <scheme val="minor"/>
      </rPr>
      <t>/mo, Total</t>
    </r>
  </si>
  <si>
    <t>Using 4.3 weeks per month</t>
  </si>
  <si>
    <t>Months per year animals in facility</t>
  </si>
  <si>
    <t>YEARLY MANURE</t>
  </si>
  <si>
    <t>Manure Weight, Lb/yr, Total</t>
  </si>
  <si>
    <r>
      <t>Manure Volume, Ft</t>
    </r>
    <r>
      <rPr>
        <b/>
        <vertAlign val="superscript"/>
        <sz val="11"/>
        <color theme="1"/>
        <rFont val="Calibri"/>
        <family val="2"/>
        <scheme val="minor"/>
      </rPr>
      <t>3</t>
    </r>
    <r>
      <rPr>
        <b/>
        <sz val="11"/>
        <color theme="1"/>
        <rFont val="Calibri"/>
        <family val="2"/>
        <scheme val="minor"/>
      </rPr>
      <t>/yr, Total</t>
    </r>
  </si>
  <si>
    <t>ANIMAL MANURE PRODUCTION</t>
  </si>
  <si>
    <t>DEEP-BED-PACK LIVESTOCK FACILITY - SIZE</t>
  </si>
  <si>
    <t>Number of Animals</t>
  </si>
  <si>
    <r>
      <t>Pack Space
per animal,
ft</t>
    </r>
    <r>
      <rPr>
        <b/>
        <vertAlign val="superscript"/>
        <sz val="11"/>
        <color theme="1"/>
        <rFont val="Calibri"/>
        <family val="2"/>
        <scheme val="minor"/>
      </rPr>
      <t>2</t>
    </r>
    <r>
      <rPr>
        <b/>
        <sz val="11"/>
        <color theme="1"/>
        <rFont val="Calibri"/>
        <family val="2"/>
        <scheme val="minor"/>
      </rPr>
      <t>/head</t>
    </r>
  </si>
  <si>
    <r>
      <t>Animal Type
Pack Space
Total, Ft</t>
    </r>
    <r>
      <rPr>
        <b/>
        <vertAlign val="superscript"/>
        <sz val="11"/>
        <color theme="1"/>
        <rFont val="Calibri"/>
        <family val="2"/>
        <scheme val="minor"/>
      </rPr>
      <t>2</t>
    </r>
  </si>
  <si>
    <t xml:space="preserve"> Animal Type</t>
  </si>
  <si>
    <t>Deep-Bed-Pack Facility</t>
  </si>
  <si>
    <t>Total Sq. Ft. Pack Area</t>
  </si>
  <si>
    <t>NOTE: The moisture content of any pack material used in a deep-bed-pack facility will affect the long-term pack management.</t>
  </si>
  <si>
    <t>Build pack stability:</t>
  </si>
  <si>
    <t>Bedding material diversity!</t>
  </si>
  <si>
    <t>Consider…</t>
  </si>
  <si>
    <t>%MC,       lb/lb         wet basis</t>
  </si>
  <si>
    <t>Moisture Content</t>
  </si>
  <si>
    <r>
      <t>Manure Wt * %MC, lb H</t>
    </r>
    <r>
      <rPr>
        <b/>
        <vertAlign val="subscript"/>
        <sz val="11"/>
        <color theme="1"/>
        <rFont val="Calibri"/>
        <family val="2"/>
        <scheme val="minor"/>
      </rPr>
      <t>2</t>
    </r>
    <r>
      <rPr>
        <b/>
        <sz val="11"/>
        <color theme="1"/>
        <rFont val="Calibri"/>
        <family val="2"/>
        <scheme val="minor"/>
      </rPr>
      <t>O/yr.</t>
    </r>
  </si>
  <si>
    <t>Total</t>
  </si>
  <si>
    <t>filling pack base of facility</t>
  </si>
  <si>
    <r>
      <t>Assume</t>
    </r>
    <r>
      <rPr>
        <i/>
        <u/>
        <sz val="11"/>
        <color theme="1"/>
        <rFont val="Calibri"/>
        <family val="2"/>
        <scheme val="minor"/>
      </rPr>
      <t xml:space="preserve"> 20% compaction</t>
    </r>
    <r>
      <rPr>
        <i/>
        <sz val="11"/>
        <color theme="1"/>
        <rFont val="Calibri"/>
        <family val="2"/>
        <scheme val="minor"/>
      </rPr>
      <t xml:space="preserve"> for </t>
    </r>
  </si>
  <si>
    <t>$ COST FOR BASE</t>
  </si>
  <si>
    <t>Bedding Materials - for consideration</t>
  </si>
  <si>
    <t>Carbon Source for Bedding Material Amendments (typical values)</t>
  </si>
  <si>
    <t>Bedding</t>
  </si>
  <si>
    <t>$ COST FOR BEDDING</t>
  </si>
  <si>
    <t>TOTALS</t>
  </si>
  <si>
    <t>Formula: Solving for the required quantity of bedding</t>
  </si>
  <si>
    <t>MC%</t>
  </si>
  <si>
    <r>
      <t xml:space="preserve">Definition: That part of a waste material removed by evaporation and oven drying at 217 </t>
    </r>
    <r>
      <rPr>
        <vertAlign val="superscript"/>
        <sz val="11"/>
        <color theme="1"/>
        <rFont val="Calibri"/>
        <family val="2"/>
        <scheme val="minor"/>
      </rPr>
      <t>0</t>
    </r>
    <r>
      <rPr>
        <sz val="11"/>
        <color theme="1"/>
        <rFont val="Calibri"/>
        <family val="2"/>
        <scheme val="minor"/>
      </rPr>
      <t xml:space="preserve">F (103 </t>
    </r>
    <r>
      <rPr>
        <vertAlign val="superscript"/>
        <sz val="11"/>
        <color theme="1"/>
        <rFont val="Calibri"/>
        <family val="2"/>
        <scheme val="minor"/>
      </rPr>
      <t>0</t>
    </r>
    <r>
      <rPr>
        <sz val="11"/>
        <color theme="1"/>
        <rFont val="Calibri"/>
        <family val="2"/>
        <scheme val="minor"/>
      </rPr>
      <t>C)</t>
    </r>
  </si>
  <si>
    <t>Note: Moisture content (%) plus total solids (%) equals 100%</t>
  </si>
  <si>
    <t>Manure Wt.</t>
  </si>
  <si>
    <t>Manure Wt.*%MC</t>
  </si>
  <si>
    <t>Bedding Wt.</t>
  </si>
  <si>
    <t>Bedding*%MC</t>
  </si>
  <si>
    <t>MOISTURE CONTENT OF BEDDED PACK</t>
  </si>
  <si>
    <t>FORMULA: SOLUTION Bedding + Manure</t>
  </si>
  <si>
    <t>Percent Moisture Content</t>
  </si>
  <si>
    <t xml:space="preserve">Annual Total Cost, Base + Bedding = </t>
  </si>
  <si>
    <t>Functions for stability and aeration (not included in moisture balance formula)</t>
  </si>
  <si>
    <t>Inventory worksheet</t>
  </si>
  <si>
    <t>Consider moisture content of bedding purchase! Don't pay for water!</t>
  </si>
  <si>
    <t>Selected Bedding Material Amendments</t>
  </si>
  <si>
    <t xml:space="preserve">Annual Total Cost, </t>
  </si>
  <si>
    <t xml:space="preserve">Base + Bedding </t>
  </si>
  <si>
    <t xml:space="preserve">Drop down list </t>
  </si>
  <si>
    <t>ONLY USE THESE CELL COLORS FOR INPUT!</t>
  </si>
  <si>
    <t>Total balance of moisture content must be 63% or less:</t>
  </si>
  <si>
    <t>Bedding Bales:</t>
  </si>
  <si>
    <t>Drop down data</t>
  </si>
  <si>
    <t>Square Bale, Small, 4 ft in length</t>
  </si>
  <si>
    <t>CY</t>
  </si>
  <si>
    <t>Round Bale, Small, 3 ft. dia. X 4 ft.</t>
  </si>
  <si>
    <t>Round or square Bale, Large</t>
  </si>
  <si>
    <t xml:space="preserve">     Lg. Round: 5 ft. dia. X 4 ft. wide</t>
  </si>
  <si>
    <t xml:space="preserve">     Lg. Square: 3ft x 4ft x 8ft</t>
  </si>
  <si>
    <t>Square Bale, Large, 3ft.x4ft.x8ft.</t>
  </si>
  <si>
    <t>Volume, C.Y.</t>
  </si>
  <si>
    <t>Internet sale prices averaged: 5/12/2016</t>
  </si>
  <si>
    <t>Planning Tool</t>
  </si>
  <si>
    <t>bedding that is needed each year.</t>
  </si>
  <si>
    <t xml:space="preserve">A. Help producer come up with an approximate quantity of </t>
  </si>
  <si>
    <t xml:space="preserve">B. Help producer find a reliable and functional source of </t>
  </si>
  <si>
    <t>bedding that must be harvested or purchased each year.</t>
  </si>
  <si>
    <t>a.  Bedded pack refers to accumulated bedding materials</t>
  </si>
  <si>
    <t>b.  The landowner using a bedded pack starts with an initial</t>
  </si>
  <si>
    <t xml:space="preserve"> and manure under a covered livestock housing.</t>
  </si>
  <si>
    <t>material over the floor of the pack area.</t>
  </si>
  <si>
    <t xml:space="preserve"> the feed alley for the barn.</t>
  </si>
  <si>
    <t>e.  The bedded pack ends up being several feed thick by spring.</t>
  </si>
  <si>
    <t xml:space="preserve">f.  The herd is fed on the pack in the bedded-pack area. </t>
  </si>
  <si>
    <t>h.  No additional solids waste storage is required for the barn.</t>
  </si>
  <si>
    <t>i.  No additonal liquid waste storage is required for the barn.</t>
  </si>
  <si>
    <t xml:space="preserve">f.  The herd is fed along a feed alley, off the pack. </t>
  </si>
  <si>
    <t>g.  The herd will only lounge and loaf on the pack.</t>
  </si>
  <si>
    <t>h.  Additional waste storage is required for a daily scrape of</t>
  </si>
  <si>
    <t>g.  The herd will 'graze', lounge and loaf on the pack.</t>
  </si>
  <si>
    <t>thick layer (12 inches to 18 inches deep) course bedding</t>
  </si>
  <si>
    <t>basis or a minimum of several times per week.</t>
  </si>
  <si>
    <t>c.  More bedding material is added on a daily or every other day</t>
  </si>
  <si>
    <t>This planning tool estimates the volume of bedding required for the facility</t>
  </si>
  <si>
    <t>and animals confined there to maintain a moisture content of the pack of</t>
  </si>
  <si>
    <r>
      <rPr>
        <b/>
        <sz val="11"/>
        <color theme="1"/>
        <rFont val="Calibri"/>
        <family val="2"/>
        <scheme val="minor"/>
      </rPr>
      <t>no more than 63%.</t>
    </r>
    <r>
      <rPr>
        <sz val="11"/>
        <color theme="1"/>
        <rFont val="Calibri"/>
        <family val="2"/>
        <scheme val="minor"/>
      </rPr>
      <t xml:space="preserve"> </t>
    </r>
  </si>
  <si>
    <t xml:space="preserve">Near 60% moisture content is the moisture required for composting organic </t>
  </si>
  <si>
    <t>This planning tool is NOT intended for planning compost bedded pack facilities.</t>
  </si>
  <si>
    <t>Worksheets:</t>
  </si>
  <si>
    <t>Title</t>
  </si>
  <si>
    <t>DeepBP_Facility</t>
  </si>
  <si>
    <t>DeepBP-L_Facility</t>
  </si>
  <si>
    <t>DeepBP_Material</t>
  </si>
  <si>
    <t>DeepBP-L_Material</t>
  </si>
  <si>
    <t>File_Report</t>
  </si>
  <si>
    <t>Data</t>
  </si>
  <si>
    <t>RefTable</t>
  </si>
  <si>
    <t>Legend:</t>
  </si>
  <si>
    <t xml:space="preserve"> (choose item from list only)</t>
  </si>
  <si>
    <t>also:</t>
  </si>
  <si>
    <r>
      <t xml:space="preserve">This tool demonstrates the approximate quantity of bedding that is needed each year.  </t>
    </r>
    <r>
      <rPr>
        <b/>
        <u/>
        <sz val="14"/>
        <color theme="1"/>
        <rFont val="Calibri"/>
        <family val="2"/>
        <scheme val="minor"/>
      </rPr>
      <t/>
    </r>
  </si>
  <si>
    <r>
      <t xml:space="preserve">It will be the annual responsibility of the producer to provide the </t>
    </r>
    <r>
      <rPr>
        <b/>
        <u/>
        <sz val="14"/>
        <color theme="1"/>
        <rFont val="Calibri"/>
        <family val="2"/>
        <scheme val="minor"/>
      </rPr>
      <t>pack base material</t>
    </r>
    <r>
      <rPr>
        <b/>
        <sz val="14"/>
        <color theme="1"/>
        <rFont val="Calibri"/>
        <family val="2"/>
        <scheme val="minor"/>
      </rPr>
      <t xml:space="preserve">, </t>
    </r>
    <r>
      <rPr>
        <b/>
        <u/>
        <sz val="14"/>
        <color theme="1"/>
        <rFont val="Calibri"/>
        <family val="2"/>
        <scheme val="minor"/>
      </rPr>
      <t>bedding material</t>
    </r>
    <r>
      <rPr>
        <b/>
        <sz val="14"/>
        <color theme="1"/>
        <rFont val="Calibri"/>
        <family val="2"/>
        <scheme val="minor"/>
      </rPr>
      <t xml:space="preserve"> and </t>
    </r>
    <r>
      <rPr>
        <b/>
        <u/>
        <sz val="14"/>
        <color theme="1"/>
        <rFont val="Calibri"/>
        <family val="2"/>
        <scheme val="minor"/>
      </rPr>
      <t>manure management</t>
    </r>
    <r>
      <rPr>
        <b/>
        <sz val="14"/>
        <color theme="1"/>
        <rFont val="Calibri"/>
        <family val="2"/>
        <scheme val="minor"/>
      </rPr>
      <t>.</t>
    </r>
  </si>
  <si>
    <t>NOTE:</t>
  </si>
  <si>
    <t>PROPERTIES:</t>
  </si>
  <si>
    <t>SPREADSHEET PURPOSE:</t>
  </si>
  <si>
    <t>Overview</t>
  </si>
  <si>
    <t>weight, Lb.</t>
  </si>
  <si>
    <r>
      <t xml:space="preserve">waste materials </t>
    </r>
    <r>
      <rPr>
        <b/>
        <i/>
        <sz val="11"/>
        <color theme="1"/>
        <rFont val="Calibri"/>
        <family val="2"/>
        <scheme val="minor"/>
      </rPr>
      <t xml:space="preserve">without having leachate runoff or seepage </t>
    </r>
    <r>
      <rPr>
        <i/>
        <sz val="11"/>
        <color theme="1"/>
        <rFont val="Calibri"/>
        <family val="2"/>
        <scheme val="minor"/>
      </rPr>
      <t>below the pack.</t>
    </r>
  </si>
  <si>
    <r>
      <t xml:space="preserve">Deep Bedded-Pack Facility = </t>
    </r>
    <r>
      <rPr>
        <b/>
        <i/>
        <sz val="11"/>
        <color theme="1"/>
        <rFont val="Calibri"/>
        <family val="2"/>
        <scheme val="minor"/>
      </rPr>
      <t>Complete</t>
    </r>
  </si>
  <si>
    <r>
      <t xml:space="preserve">DEEP BEDDED-PACK FACILITY = </t>
    </r>
    <r>
      <rPr>
        <b/>
        <i/>
        <sz val="11"/>
        <color theme="1"/>
        <rFont val="Arial"/>
        <family val="2"/>
      </rPr>
      <t>COMPLETE</t>
    </r>
  </si>
  <si>
    <t>Deep-Bed-Pack_L Facility</t>
  </si>
  <si>
    <r>
      <t xml:space="preserve">Space/animal </t>
    </r>
    <r>
      <rPr>
        <b/>
        <i/>
        <sz val="9.5"/>
        <color theme="1"/>
        <rFont val="Calibri"/>
        <family val="2"/>
        <scheme val="minor"/>
      </rPr>
      <t>complete</t>
    </r>
    <r>
      <rPr>
        <b/>
        <sz val="9.5"/>
        <color theme="1"/>
        <rFont val="Calibri"/>
        <family val="2"/>
        <scheme val="minor"/>
      </rPr>
      <t>, ft</t>
    </r>
    <r>
      <rPr>
        <b/>
        <vertAlign val="superscript"/>
        <sz val="9.5"/>
        <color theme="1"/>
        <rFont val="Calibri"/>
        <family val="2"/>
        <scheme val="minor"/>
      </rPr>
      <t>2</t>
    </r>
    <r>
      <rPr>
        <b/>
        <sz val="9.5"/>
        <color theme="1"/>
        <rFont val="Calibri"/>
        <family val="2"/>
        <scheme val="minor"/>
      </rPr>
      <t>/head</t>
    </r>
  </si>
  <si>
    <t>MWPS-1 Structures and Environment Handbook</t>
  </si>
  <si>
    <t>In this case use a different 'Compost Bedded-Pack' planning tool for planning these facilities.</t>
  </si>
  <si>
    <t>Total sq ft/hd</t>
  </si>
  <si>
    <t>Bunk feeder space (24 in/hd), ft.</t>
  </si>
  <si>
    <t>Reference:</t>
  </si>
  <si>
    <t>Bedding source reliability and functional properties must be considered in making choices of bedding materials.</t>
  </si>
  <si>
    <t>Select hours per day animals in feed alley:</t>
  </si>
  <si>
    <t>Select Hrs/day</t>
  </si>
  <si>
    <t>Animals in feed alley</t>
  </si>
  <si>
    <t>Percent of day in feed alley:</t>
  </si>
  <si>
    <t xml:space="preserve">Percent of manure in feed alley </t>
  </si>
  <si>
    <t>STORAGE</t>
  </si>
  <si>
    <t>Pack Moisture Cont.</t>
  </si>
  <si>
    <r>
      <t>Manure Vol., Ft</t>
    </r>
    <r>
      <rPr>
        <b/>
        <vertAlign val="superscript"/>
        <sz val="11"/>
        <color theme="1"/>
        <rFont val="Calibri"/>
        <family val="2"/>
        <scheme val="minor"/>
      </rPr>
      <t>3</t>
    </r>
    <r>
      <rPr>
        <b/>
        <sz val="11"/>
        <color theme="1"/>
        <rFont val="Calibri"/>
        <family val="2"/>
        <scheme val="minor"/>
      </rPr>
      <t>/yr, Total</t>
    </r>
  </si>
  <si>
    <t>Separate solid manure storage required</t>
  </si>
  <si>
    <t>Alley Scrape</t>
  </si>
  <si>
    <t>MANURE STORED IN PACK</t>
  </si>
  <si>
    <t>Waste Management Institute.  Shows better aeration with mixed materials</t>
  </si>
  <si>
    <t xml:space="preserve">Image below from: "How porosity affects aeration." From T. Richard, Cornell </t>
  </si>
  <si>
    <t>Building a deep-bed pack</t>
  </si>
  <si>
    <t>To create a healthy soil amendment from the deep-bed pack an initial course base is required for porosity, aeration and hoof stability.</t>
  </si>
  <si>
    <t>RECOMMENDED: Initial base of wood chips, 12 inches deep and fairly course in size to promote pack aeration.</t>
  </si>
  <si>
    <t>RSMeans 2015</t>
  </si>
  <si>
    <t>$28.80/CY Wood Chip Material</t>
  </si>
  <si>
    <t>Semi Truck Trailer</t>
  </si>
  <si>
    <t>Large Semi Truck Trailer</t>
  </si>
  <si>
    <t>Small Semi Truck Trailer</t>
  </si>
  <si>
    <t>When purchased by the truckload</t>
  </si>
  <si>
    <t>wood Shavings ( 8 cu. ft. bag)</t>
  </si>
  <si>
    <t>Minimum order 960 bags</t>
  </si>
  <si>
    <t>Bulk Ground Corn Cobs</t>
  </si>
  <si>
    <t>$270/ 25 CY</t>
  </si>
  <si>
    <t>437lb/CY</t>
  </si>
  <si>
    <t>390lb/CY</t>
  </si>
  <si>
    <t>430lb/CY</t>
  </si>
  <si>
    <t>420 lb/CY</t>
  </si>
  <si>
    <t>AVG</t>
  </si>
  <si>
    <t>Woodchips - dry</t>
  </si>
  <si>
    <t>RSMeans est.</t>
  </si>
  <si>
    <t>chronofhorse.com</t>
  </si>
  <si>
    <t>Cubic Yard - contractor</t>
  </si>
  <si>
    <r>
      <rPr>
        <b/>
        <sz val="10"/>
        <rFont val="Arial"/>
        <family val="2"/>
      </rPr>
      <t xml:space="preserve"> </t>
    </r>
    <r>
      <rPr>
        <sz val="10"/>
        <rFont val="Arial"/>
        <family val="2"/>
      </rPr>
      <t>Cost, $/CY</t>
    </r>
  </si>
  <si>
    <r>
      <t xml:space="preserve">Pack </t>
    </r>
    <r>
      <rPr>
        <b/>
        <sz val="11"/>
        <color theme="1"/>
        <rFont val="Calibri"/>
        <family val="2"/>
        <scheme val="minor"/>
      </rPr>
      <t>Area</t>
    </r>
    <r>
      <rPr>
        <sz val="11"/>
        <color theme="1"/>
        <rFont val="Calibri"/>
        <family val="2"/>
        <scheme val="minor"/>
      </rPr>
      <t>, 
Sq. Ft.</t>
    </r>
  </si>
  <si>
    <t>Wood - Chips (Dry)</t>
  </si>
  <si>
    <t>Note:</t>
  </si>
  <si>
    <t xml:space="preserve">vary depending on operation </t>
  </si>
  <si>
    <t>location and resources.</t>
  </si>
  <si>
    <t xml:space="preserve">Pack base material and cost can </t>
  </si>
  <si>
    <r>
      <t xml:space="preserve">Pack Base, </t>
    </r>
    <r>
      <rPr>
        <b/>
        <sz val="10"/>
        <rFont val="Arial"/>
        <family val="2"/>
      </rPr>
      <t>CY Total</t>
    </r>
  </si>
  <si>
    <r>
      <t xml:space="preserve">Pack </t>
    </r>
    <r>
      <rPr>
        <b/>
        <sz val="9"/>
        <rFont val="Arial"/>
        <family val="2"/>
      </rPr>
      <t>Area</t>
    </r>
    <r>
      <rPr>
        <sz val="9"/>
        <rFont val="Arial"/>
        <family val="2"/>
      </rPr>
      <t>,
 Sq. Yd.</t>
    </r>
  </si>
  <si>
    <r>
      <rPr>
        <b/>
        <sz val="9"/>
        <rFont val="Arial"/>
        <family val="2"/>
      </rPr>
      <t>Chip Wt</t>
    </r>
    <r>
      <rPr>
        <sz val="9"/>
        <rFont val="Arial"/>
        <family val="2"/>
      </rPr>
      <t>,
 lbs./CY</t>
    </r>
  </si>
  <si>
    <r>
      <t xml:space="preserve">Base Cost, 
</t>
    </r>
    <r>
      <rPr>
        <b/>
        <sz val="11"/>
        <color theme="1"/>
        <rFont val="Calibri"/>
        <family val="2"/>
        <scheme val="minor"/>
      </rPr>
      <t xml:space="preserve">Annual $ </t>
    </r>
  </si>
  <si>
    <r>
      <t xml:space="preserve">Base of dry 
wood chips, 
Wt. </t>
    </r>
    <r>
      <rPr>
        <b/>
        <sz val="11"/>
        <color theme="1"/>
        <rFont val="Calibri"/>
        <family val="2"/>
        <scheme val="minor"/>
      </rPr>
      <t>LB/YR</t>
    </r>
  </si>
  <si>
    <t>Forest Service study on dry wood chip transport</t>
  </si>
  <si>
    <t>Average weight, 420 lb/CY</t>
  </si>
  <si>
    <t>Industrial wood chip sale transport volumes</t>
  </si>
  <si>
    <t>Hauler</t>
  </si>
  <si>
    <t>Volume</t>
  </si>
  <si>
    <t>Wt.</t>
  </si>
  <si>
    <t>Forest Service study report on dry wood chip transport, 2012 Wood Council Mtg. Paper</t>
  </si>
  <si>
    <t>Rounding est. - $30/CY</t>
  </si>
  <si>
    <t>CY/Trailer</t>
  </si>
  <si>
    <t>Avg. Wt. x
Trailer Vol.</t>
  </si>
  <si>
    <t>Horse Forum,
Cost $/CY</t>
  </si>
  <si>
    <t>Image below shows the role a course base layer provides.</t>
  </si>
  <si>
    <t>Equine forum cost of industrial load of wood chips, $5 per cubic yard. (2013)</t>
  </si>
  <si>
    <t>Co-Composter vers. 2a</t>
  </si>
  <si>
    <t xml:space="preserve">   November 15, 2001</t>
  </si>
  <si>
    <t>Cornell University</t>
  </si>
  <si>
    <t>Hay - Bedding hay</t>
  </si>
  <si>
    <t>Wood - Chips (dry)</t>
  </si>
  <si>
    <t>On-Farm Composting Handbook, Northeast Regional Agricultural Engineering Service, NRAES-54, June 1992</t>
  </si>
  <si>
    <t>C:N ratio (weight to weight)</t>
  </si>
  <si>
    <t>Wood - shavings and chip mix (dry)</t>
  </si>
  <si>
    <t>NRCS Agricultural Waste Management Field Handbook, Ch 10, Component Design, 2009</t>
  </si>
  <si>
    <t>The Art and Science of Composting, Leslie Cooperband, University of Wisconsin-Madison, March 29, 2002</t>
  </si>
  <si>
    <t>Trucking Characteristics for an In-woods Biomass Chipping Operation, J.D. Thompson, J. Klepac, W. Sprinkle, USDA Forest Service</t>
  </si>
  <si>
    <r>
      <t>Bedding Data (</t>
    </r>
    <r>
      <rPr>
        <b/>
        <i/>
        <sz val="12"/>
        <color theme="1"/>
        <rFont val="Calibri"/>
        <family val="2"/>
        <scheme val="minor"/>
      </rPr>
      <t>can be revised if test data available</t>
    </r>
    <r>
      <rPr>
        <b/>
        <sz val="12"/>
        <color theme="1"/>
        <rFont val="Calibri"/>
        <family val="2"/>
        <scheme val="minor"/>
      </rPr>
      <t>)</t>
    </r>
  </si>
  <si>
    <t>Wood - shavings+chip (dry)</t>
  </si>
  <si>
    <t>C to N ratio in cropping systems, NRCS, January 2011</t>
  </si>
  <si>
    <t>d.  The herd is housed on the pack primarily during the winter season.</t>
  </si>
  <si>
    <t>LOCKED Value referenced from another cell</t>
  </si>
  <si>
    <t>UNLOCKED Value referenced from another cell</t>
  </si>
  <si>
    <t xml:space="preserve">             (Can overwrite default value if better data is available)</t>
  </si>
  <si>
    <t>Formula / Solution = LOCKED</t>
  </si>
  <si>
    <r>
      <t>Alley animal space, ft</t>
    </r>
    <r>
      <rPr>
        <b/>
        <vertAlign val="superscript"/>
        <sz val="11"/>
        <color theme="1"/>
        <rFont val="Calibri"/>
        <family val="2"/>
        <scheme val="minor"/>
      </rPr>
      <t>2</t>
    </r>
    <r>
      <rPr>
        <b/>
        <sz val="11"/>
        <color theme="1"/>
        <rFont val="Calibri"/>
        <family val="2"/>
        <scheme val="minor"/>
      </rPr>
      <t>/head</t>
    </r>
  </si>
  <si>
    <t>Alley depth per animal, ft.</t>
  </si>
  <si>
    <t>RECOMMENDED: Initial base of wood chips, 12 to 18 inches deep and fairly course in size to promote pack aeration.</t>
  </si>
  <si>
    <t>Manure Weight</t>
  </si>
  <si>
    <t>Bedding Weight</t>
  </si>
  <si>
    <t>Bedding Wt*%MC</t>
  </si>
  <si>
    <t>Bedding 
Purchase Unit</t>
  </si>
  <si>
    <r>
      <rPr>
        <b/>
        <sz val="11"/>
        <color theme="1"/>
        <rFont val="Calibri"/>
        <family val="2"/>
        <scheme val="minor"/>
      </rPr>
      <t>Bedding</t>
    </r>
    <r>
      <rPr>
        <sz val="11"/>
        <color theme="1"/>
        <rFont val="Calibri"/>
        <family val="2"/>
        <scheme val="minor"/>
      </rPr>
      <t xml:space="preserve">
</t>
    </r>
    <r>
      <rPr>
        <b/>
        <sz val="11"/>
        <color theme="1"/>
        <rFont val="Calibri"/>
        <family val="2"/>
        <scheme val="minor"/>
      </rPr>
      <t>%MC</t>
    </r>
    <r>
      <rPr>
        <sz val="11"/>
        <color theme="1"/>
        <rFont val="Calibri"/>
        <family val="2"/>
        <scheme val="minor"/>
      </rPr>
      <t>, 
lb/lb    
wet basis</t>
    </r>
  </si>
  <si>
    <r>
      <rPr>
        <b/>
        <sz val="11"/>
        <color theme="1"/>
        <rFont val="Calibri"/>
        <family val="2"/>
        <scheme val="minor"/>
      </rPr>
      <t>Bedding</t>
    </r>
    <r>
      <rPr>
        <sz val="11"/>
        <color theme="1"/>
        <rFont val="Calibri"/>
        <family val="2"/>
        <scheme val="minor"/>
      </rPr>
      <t xml:space="preserve">
</t>
    </r>
    <r>
      <rPr>
        <b/>
        <sz val="11"/>
        <color theme="1"/>
        <rFont val="Calibri"/>
        <family val="2"/>
        <scheme val="minor"/>
      </rPr>
      <t>C:N ratio</t>
    </r>
    <r>
      <rPr>
        <sz val="11"/>
        <color theme="1"/>
        <rFont val="Calibri"/>
        <family val="2"/>
        <scheme val="minor"/>
      </rPr>
      <t xml:space="preserve"> 
(C to 1 part N)</t>
    </r>
  </si>
  <si>
    <t>Square Bale, 
Small, 4 ft. long</t>
  </si>
  <si>
    <t>Purchase Units (typical)</t>
  </si>
  <si>
    <t>$ Cost per haul</t>
  </si>
  <si>
    <t>Ref. List</t>
  </si>
  <si>
    <t>Weight,    lbs.</t>
  </si>
  <si>
    <t>Bedding Weight  * %MC 
Lb Water</t>
  </si>
  <si>
    <t>Bedding Weight, 
Lb/yr</t>
  </si>
  <si>
    <t>Cost, $ 
each purchase unit</t>
  </si>
  <si>
    <t>Planned Bedding Units required Annually</t>
  </si>
  <si>
    <t>Manure Wt * %MC, lb water/yr.</t>
  </si>
  <si>
    <t>Volume, Cu.Yd.</t>
  </si>
  <si>
    <t>For:</t>
  </si>
  <si>
    <t>USE: DeepBP_xxxxxxxx</t>
  </si>
  <si>
    <t>USE: DeepBP-L_xxxxxxxx</t>
  </si>
  <si>
    <r>
      <t xml:space="preserve">Deep Bedded-Pack-L Facility = </t>
    </r>
    <r>
      <rPr>
        <b/>
        <i/>
        <sz val="11"/>
        <color theme="1"/>
        <rFont val="Calibri"/>
        <family val="2"/>
        <scheme val="minor"/>
      </rPr>
      <t>Lounge only</t>
    </r>
  </si>
  <si>
    <r>
      <t xml:space="preserve">DEEP BEDDED-PACK-L_FACILITY = </t>
    </r>
    <r>
      <rPr>
        <b/>
        <i/>
        <sz val="11"/>
        <color theme="1"/>
        <rFont val="Arial"/>
        <family val="2"/>
      </rPr>
      <t>Lounge only</t>
    </r>
  </si>
  <si>
    <r>
      <t>Feed alley space /animal, ft</t>
    </r>
    <r>
      <rPr>
        <b/>
        <vertAlign val="superscript"/>
        <sz val="10"/>
        <color theme="1"/>
        <rFont val="Calibri"/>
        <family val="2"/>
        <scheme val="minor"/>
      </rPr>
      <t>2</t>
    </r>
    <r>
      <rPr>
        <b/>
        <sz val="10"/>
        <color theme="1"/>
        <rFont val="Calibri"/>
        <family val="2"/>
        <scheme val="minor"/>
      </rPr>
      <t>/head</t>
    </r>
  </si>
  <si>
    <t>Compost Mixture Components, NEH, Part 637, Composting, Chapter 2, Section: 637.0202</t>
  </si>
  <si>
    <t>C:N of bedded pack (estimation)</t>
  </si>
  <si>
    <t>Average animal manure C:N ratio = 18</t>
  </si>
  <si>
    <t>Dry weight basis</t>
  </si>
  <si>
    <t>Dry Weight of Manure</t>
  </si>
  <si>
    <t>(on a dry weight basis)</t>
  </si>
  <si>
    <t>Using an average manure %C = 46.8</t>
  </si>
  <si>
    <t>Using an average manure %N = 2.6</t>
  </si>
  <si>
    <t>Reference: NEH Part 637, Composting</t>
  </si>
  <si>
    <t>Estimated</t>
  </si>
  <si>
    <t>Estimated:</t>
  </si>
  <si>
    <t>Weight of Carbon</t>
  </si>
  <si>
    <t>Weight of Nitrogen</t>
  </si>
  <si>
    <t>Dry Weight of Bedding</t>
  </si>
  <si>
    <t>C:N Weighted Avg.</t>
  </si>
  <si>
    <t>Weighted avg. C:N ratio:</t>
  </si>
  <si>
    <t>Using an average bedding %N = 1</t>
  </si>
  <si>
    <t xml:space="preserve">Average bedding % C = </t>
  </si>
  <si>
    <t>Initial Sum of Pack C:N</t>
  </si>
  <si>
    <t>:1</t>
  </si>
  <si>
    <r>
      <t>The pack mix should be designed so that</t>
    </r>
    <r>
      <rPr>
        <b/>
        <sz val="11"/>
        <color theme="1"/>
        <rFont val="Calibri"/>
        <family val="2"/>
        <scheme val="minor"/>
      </rPr>
      <t xml:space="preserve"> either the C:N ratio or the moisture content</t>
    </r>
    <r>
      <rPr>
        <sz val="11"/>
        <color theme="1"/>
        <rFont val="Calibri"/>
        <family val="2"/>
        <scheme val="minor"/>
      </rPr>
      <t xml:space="preserve"> is within the</t>
    </r>
  </si>
  <si>
    <t xml:space="preserve">recommended ranges and the other as close as possible to the ideal range.  </t>
  </si>
  <si>
    <t>Recommended Pack Base = 12" layer of wood chips</t>
  </si>
  <si>
    <t>Design pack base depth, inches</t>
  </si>
  <si>
    <t xml:space="preserve">Moisture Content is the Design Target at 63% maximum.  </t>
  </si>
  <si>
    <t>C:N can be checked for acceptable range and bedding choices.</t>
  </si>
  <si>
    <t>Bedding estimated</t>
  </si>
  <si>
    <t>Manure estimated</t>
  </si>
  <si>
    <t>Manure: DeepBP-L_Facility worksheet</t>
  </si>
  <si>
    <t>Manure: DeepBP_Facility worksheet</t>
  </si>
  <si>
    <t xml:space="preserve"> Pack Area, Sq. Ft.</t>
  </si>
  <si>
    <t>Alley Scrape Storage</t>
  </si>
  <si>
    <r>
      <t>Manure Vol., Ft</t>
    </r>
    <r>
      <rPr>
        <b/>
        <vertAlign val="superscript"/>
        <sz val="11"/>
        <color theme="1"/>
        <rFont val="Calibri"/>
        <family val="2"/>
        <scheme val="minor"/>
      </rPr>
      <t>3</t>
    </r>
    <r>
      <rPr>
        <b/>
        <sz val="11"/>
        <color theme="1"/>
        <rFont val="Calibri"/>
        <family val="2"/>
        <scheme val="minor"/>
      </rPr>
      <t>/yr</t>
    </r>
  </si>
  <si>
    <t>YEARLY PACK MANURE</t>
  </si>
  <si>
    <t>Bedding: DeepBP_Material worksheet</t>
  </si>
  <si>
    <t>Pack Base layer of wood chips</t>
  </si>
  <si>
    <t>ANNUAL COST, $</t>
  </si>
  <si>
    <t>Bedding: DeepBP-L_Material worksheet</t>
  </si>
  <si>
    <t>Moisture content of Bedded Pack</t>
  </si>
  <si>
    <t>C:N ratio of Bedded Pack</t>
  </si>
  <si>
    <t xml:space="preserve">   Moisture content of Bedded Pack</t>
  </si>
  <si>
    <t>Planners Notes:</t>
  </si>
  <si>
    <t xml:space="preserve">If the producer is planning on a 'Compost Bedded-Pack', it will require </t>
  </si>
  <si>
    <t xml:space="preserve">the pack be tilled or mixed twice a day to a depth of 10 inches to 12 inches.  </t>
  </si>
  <si>
    <r>
      <rPr>
        <sz val="11"/>
        <rFont val="Calibri"/>
        <family val="2"/>
        <scheme val="minor"/>
      </rPr>
      <t xml:space="preserve">* </t>
    </r>
    <r>
      <rPr>
        <i/>
        <sz val="11"/>
        <color rgb="FFFF0000"/>
        <rFont val="Calibri"/>
        <family val="2"/>
        <scheme val="minor"/>
      </rPr>
      <t>Red</t>
    </r>
    <r>
      <rPr>
        <sz val="11"/>
        <color theme="1"/>
        <rFont val="Calibri"/>
        <family val="2"/>
        <scheme val="minor"/>
      </rPr>
      <t xml:space="preserve"> numbers are estimated based on related data.</t>
    </r>
  </si>
  <si>
    <t>Round Bale, Big, 
4ft.dia.x 5ft. Long</t>
  </si>
  <si>
    <t>http://gillespie.agrilife.org/files/2011/08/Conversion-Tables-for-Ag1.pdf</t>
  </si>
  <si>
    <t>Volume for bedding</t>
  </si>
  <si>
    <t>Multiply bale * X</t>
  </si>
  <si>
    <t>X</t>
  </si>
  <si>
    <t>hay</t>
  </si>
  <si>
    <t>straw</t>
  </si>
  <si>
    <t>Weight est 14 lb/Cu Ft.</t>
  </si>
  <si>
    <t>380 lb/CY</t>
  </si>
  <si>
    <t>Wood Shavings,
 8 cu. ft. bag</t>
  </si>
  <si>
    <t>Wood Chips,
 Semi Truck load</t>
  </si>
  <si>
    <t>http://www.extension.colostate.edu/SEA/yard%20&amp;%20garden/Composting%202012.pdf</t>
  </si>
  <si>
    <t xml:space="preserve">Corn Cobs, Ground </t>
  </si>
  <si>
    <t xml:space="preserve"> Corn Cobs, Ground</t>
  </si>
  <si>
    <t>Corn Cobs, Ground</t>
  </si>
  <si>
    <t>https://extension.umd.edu/.../Copy%20of%20Revised%20Carbon%20to%20Nitrogen%20Ratio</t>
  </si>
  <si>
    <t>DEEP-BED-PACK ALTERNATIVE</t>
  </si>
  <si>
    <r>
      <t>In this case, the mix should be designed so that</t>
    </r>
    <r>
      <rPr>
        <b/>
        <sz val="11"/>
        <color theme="1"/>
        <rFont val="Calibri"/>
        <family val="2"/>
        <scheme val="minor"/>
      </rPr>
      <t xml:space="preserve"> either the C:N ratio </t>
    </r>
    <r>
      <rPr>
        <b/>
        <u/>
        <sz val="11"/>
        <color theme="1"/>
        <rFont val="Calibri"/>
        <family val="2"/>
        <scheme val="minor"/>
      </rPr>
      <t>or</t>
    </r>
    <r>
      <rPr>
        <b/>
        <sz val="11"/>
        <color theme="1"/>
        <rFont val="Calibri"/>
        <family val="2"/>
        <scheme val="minor"/>
      </rPr>
      <t xml:space="preserve"> the moisture content</t>
    </r>
    <r>
      <rPr>
        <sz val="11"/>
        <color theme="1"/>
        <rFont val="Calibri"/>
        <family val="2"/>
        <scheme val="minor"/>
      </rPr>
      <t xml:space="preserve"> is within the recommended ranges </t>
    </r>
  </si>
  <si>
    <t>Data sources used for this determination are listed on the Workbook tab 'Data' and Worksheet tab 'RefTable' is used for the look-up formula data.</t>
  </si>
  <si>
    <t xml:space="preserve">and the other as close as possible to the ideal range.  </t>
  </si>
  <si>
    <t>This tool determines bedding moisture content and calculates resulting C:N ratio.</t>
  </si>
  <si>
    <t>&gt;&gt;&gt; Initial composting recommended C:N ratio ranges between 20:1 and 40:1</t>
  </si>
  <si>
    <t>Initial composting recommended C:N ratio ranges between 20:1 and 40:1</t>
  </si>
  <si>
    <t>Consider your land application area available and nutrient analysis of compost to be applied.</t>
  </si>
  <si>
    <t>v. 1.3</t>
  </si>
  <si>
    <t>.</t>
  </si>
  <si>
    <t>Depth</t>
  </si>
  <si>
    <t>1,000 Square Feet</t>
  </si>
  <si>
    <t>One [1] Acre</t>
  </si>
  <si>
    <t>Inch layer</t>
  </si>
  <si>
    <t>Compost Volume Required to Cover Specific Areas
 for a Planned Depth</t>
  </si>
  <si>
    <r>
      <t xml:space="preserve">Cu. Ft.   </t>
    </r>
    <r>
      <rPr>
        <b/>
        <sz val="11"/>
        <color theme="1"/>
        <rFont val="Calibri"/>
        <family val="2"/>
        <scheme val="minor"/>
      </rPr>
      <t>OR</t>
    </r>
    <r>
      <rPr>
        <sz val="11"/>
        <color theme="1"/>
        <rFont val="Calibri"/>
        <family val="2"/>
        <scheme val="minor"/>
      </rPr>
      <t xml:space="preserve">   Cu. Yds.</t>
    </r>
  </si>
  <si>
    <r>
      <t xml:space="preserve">Cu. Ft.  </t>
    </r>
    <r>
      <rPr>
        <b/>
        <sz val="11"/>
        <color theme="1"/>
        <rFont val="Calibri"/>
        <family val="2"/>
        <scheme val="minor"/>
      </rPr>
      <t>OR</t>
    </r>
    <r>
      <rPr>
        <sz val="11"/>
        <color theme="1"/>
        <rFont val="Calibri"/>
        <family val="2"/>
        <scheme val="minor"/>
      </rPr>
      <t xml:space="preserve">  Cu. Yds.</t>
    </r>
  </si>
  <si>
    <t>Cost, $</t>
  </si>
  <si>
    <t>Prices for bedding materials</t>
  </si>
  <si>
    <t>https://www.feedcentral.com.au/cms/wp-content/uploads/2015/11/FC_factsheet_balesizes_web.pdf</t>
  </si>
  <si>
    <t>Material</t>
  </si>
  <si>
    <t>Website source link</t>
  </si>
  <si>
    <t>Size</t>
  </si>
  <si>
    <t>Price</t>
  </si>
  <si>
    <t>Market</t>
  </si>
  <si>
    <t>Weight,est.</t>
  </si>
  <si>
    <t>Lb.</t>
  </si>
  <si>
    <t>Wheat straw</t>
  </si>
  <si>
    <t>https://www.ams.usda.gov/mnreports/lswfeedseed.pdf</t>
  </si>
  <si>
    <t>Small square b.
15"x18"x40"</t>
  </si>
  <si>
    <t>MO</t>
  </si>
  <si>
    <t>6 cu ft</t>
  </si>
  <si>
    <t>TX</t>
  </si>
  <si>
    <t>MN</t>
  </si>
  <si>
    <t>KS</t>
  </si>
  <si>
    <t>AVG PRICE</t>
  </si>
  <si>
    <t>Large square b.
3'x4'x8'</t>
  </si>
  <si>
    <t>NE</t>
  </si>
  <si>
    <t>96 cu Ft.</t>
  </si>
  <si>
    <t>MT</t>
  </si>
  <si>
    <t>Large round b.
5'w x 6'd</t>
  </si>
  <si>
    <t>IA</t>
  </si>
  <si>
    <t>141 cu ft.</t>
  </si>
  <si>
    <t>http://www.hayexchange.com/display_detail_hay.php?id=111597</t>
  </si>
  <si>
    <t>Big round b.
4'w x 5'd</t>
  </si>
  <si>
    <t>MI</t>
  </si>
  <si>
    <t xml:space="preserve">79 cu ft. </t>
  </si>
  <si>
    <t>http://www.hayexchange.com/display_detail_hay.php?id=112012</t>
  </si>
  <si>
    <t>http://www.hayexchange.com/display_detail_hay.php?id=109401</t>
  </si>
  <si>
    <t xml:space="preserve">Bale size - relative weight for hay </t>
  </si>
  <si>
    <t>http://beeffax.tamu.edu/files/2013/09/2012-Bale-weight-how-important-is-it-Banta-E-319-.pdf</t>
  </si>
  <si>
    <t>Bale hay vs. bale straw = 1200 vx. 1000 = 1.2 hay vs. straw or 0.83 lb straw to 1 lb hay density compare.</t>
  </si>
  <si>
    <t>http://www.cattletoday.com/forum/viewtopic.php?t=74441</t>
  </si>
  <si>
    <t>Cornstalks</t>
  </si>
  <si>
    <t>Weight of corn stover @ 20% moisture = 13.824 lb/cu ft</t>
  </si>
  <si>
    <t>https://www.extension.iastate.edu/agdm/crops/pdf/a1-70.pdf</t>
  </si>
  <si>
    <t xml:space="preserve">Hay - Dry, </t>
  </si>
  <si>
    <t>https://www.ams.usda.gov/mnreports/am_gr310.txt</t>
  </si>
  <si>
    <t>https://www.ams.usda.gov/mnreports/gx_gr310.txt</t>
  </si>
  <si>
    <t>IL</t>
  </si>
  <si>
    <t>https://www.ams.usda.gov/mnreports/to_gr310.txt</t>
  </si>
  <si>
    <t>WY/NE/SD</t>
  </si>
  <si>
    <t>https://www.ams.usda.gov/mnreports/bl_gr310.txt</t>
  </si>
  <si>
    <t>fair to good</t>
  </si>
  <si>
    <t>Corn Stalk, Stover</t>
  </si>
  <si>
    <t>CONFINED LIVESTOCK FEEDING FACILITY</t>
  </si>
  <si>
    <t xml:space="preserve">Animal </t>
  </si>
  <si>
    <t>Large Bale, Big, 
5ft.dia.x 6ft. Long</t>
  </si>
  <si>
    <t xml:space="preserve">Hay, Sm Sq </t>
  </si>
  <si>
    <t>Hay, Lg Sq Bale</t>
  </si>
  <si>
    <t xml:space="preserve">Hay, 4x5 Rd </t>
  </si>
  <si>
    <t>Straw, Sm Sq</t>
  </si>
  <si>
    <t>Straw, Lg Sq</t>
  </si>
  <si>
    <t>Straw, 4x5 Rd</t>
  </si>
  <si>
    <t xml:space="preserve">Straw, 5x6 Rd </t>
  </si>
  <si>
    <t>Corn Stalks, Lg Sq</t>
  </si>
  <si>
    <t>Corn Stalks, 4x5 Rd</t>
  </si>
  <si>
    <t>Corn Cobs, Pillow</t>
  </si>
  <si>
    <t>WoodShave,CompressBag</t>
  </si>
  <si>
    <t>WoodChips,SemiTrailer</t>
  </si>
  <si>
    <t>bedding quantity</t>
  </si>
  <si>
    <t>straw bales</t>
  </si>
  <si>
    <t>dry round bales</t>
  </si>
  <si>
    <t>wood chips</t>
  </si>
  <si>
    <t>wood shavings</t>
  </si>
  <si>
    <t>Sawdust</t>
  </si>
  <si>
    <t>processed bales</t>
  </si>
  <si>
    <t xml:space="preserve">Quantity </t>
  </si>
  <si>
    <t>Cos per unit</t>
  </si>
  <si>
    <t>Annual cost</t>
  </si>
  <si>
    <t>unit</t>
  </si>
  <si>
    <t>bale</t>
  </si>
  <si>
    <t>ton</t>
  </si>
  <si>
    <t>purchased or made</t>
  </si>
  <si>
    <t>note on costs (actual or estimated)</t>
  </si>
  <si>
    <t>type of equipment</t>
  </si>
  <si>
    <t>use</t>
  </si>
  <si>
    <t>hours used</t>
  </si>
  <si>
    <t>fuel quantity used</t>
  </si>
  <si>
    <t>hourly non fuel operating cost</t>
  </si>
  <si>
    <t>Annual Fuel Cost</t>
  </si>
  <si>
    <t>Annual non fuel operating cost</t>
  </si>
  <si>
    <t>What is your milk buyers SCC premium</t>
  </si>
  <si>
    <t>What type of housing do you have for milking cows</t>
  </si>
  <si>
    <t>What is your bedding type and method of use</t>
  </si>
  <si>
    <t>Any change in vet bills</t>
  </si>
  <si>
    <t>Any change in hoof health or other health</t>
  </si>
  <si>
    <t>Any change in milk production</t>
  </si>
  <si>
    <t>Any other changes?</t>
  </si>
  <si>
    <t>Was any cull rate change related to mastitis</t>
  </si>
  <si>
    <t>Are you certified by any animal welfare program</t>
  </si>
  <si>
    <t>Did animal welfare standards or concerns about any new requirements impact your choice of type of housing</t>
  </si>
  <si>
    <t>if so what were those costs and how long have you had that equipment</t>
  </si>
  <si>
    <t>Buiding &amp; Equipment costs</t>
  </si>
  <si>
    <t>cost</t>
  </si>
  <si>
    <t>year built/purchased</t>
  </si>
  <si>
    <t>% use in pack/compost pack</t>
  </si>
  <si>
    <t>yrs ammortized</t>
  </si>
  <si>
    <t>annual cost</t>
  </si>
  <si>
    <t>Type of Equipmenet</t>
  </si>
  <si>
    <t>Year/Date</t>
  </si>
  <si>
    <t>Any grant funds or cost share</t>
  </si>
  <si>
    <t xml:space="preserve">Notes </t>
  </si>
  <si>
    <t>Other notes on changes in health or management</t>
  </si>
  <si>
    <t>What made you choose this type of housing</t>
  </si>
  <si>
    <t>What would you choose to do if making the decision now?</t>
  </si>
  <si>
    <t>if so how much material and income</t>
  </si>
  <si>
    <t>Do you use DHIA or Dairy One.  If so how often</t>
  </si>
  <si>
    <t>assumptions from other tabs</t>
  </si>
  <si>
    <t>Farm Name</t>
  </si>
  <si>
    <t xml:space="preserve"> </t>
  </si>
  <si>
    <t>Sand</t>
  </si>
  <si>
    <t>Cost to build the barn</t>
  </si>
  <si>
    <t>Year built</t>
  </si>
  <si>
    <t xml:space="preserve">Did you buy any equipment to manage bedding in this barn </t>
  </si>
  <si>
    <t>Have you observed any change in SCC in the herd since changing housing type or bedding type?</t>
  </si>
  <si>
    <t>Any other housing or bedding related changes in cull rate</t>
  </si>
  <si>
    <t>Are there avoided costs (costs you DON'T have now) as a result of the housing type you have now</t>
  </si>
  <si>
    <t>Do you have any income from sale of bedding,manure or compost</t>
  </si>
  <si>
    <t>How has your manure storage, handling and spreading changed</t>
  </si>
  <si>
    <t>How has labor changed</t>
  </si>
  <si>
    <t>How has energy costs changed</t>
  </si>
  <si>
    <t>What are your observations on cow comfort and natural behaviours</t>
  </si>
  <si>
    <t>Any change in forage yield or soil health due to changes to manure/compost type spread as a result of the housing/bedding system used</t>
  </si>
  <si>
    <t>How many sq feet of housig is there for the cows</t>
  </si>
  <si>
    <t>how many cows does the housing facility hold (# stalls or # cows)</t>
  </si>
  <si>
    <t xml:space="preserve">Was the change to this housing system due at least in part to water quality regulations </t>
  </si>
  <si>
    <t>lameness</t>
  </si>
  <si>
    <t>hock lesions</t>
  </si>
  <si>
    <t>respiratory health</t>
  </si>
  <si>
    <t>hyigene</t>
  </si>
  <si>
    <t>How has air quality in the housing changed (an amonia level tests?)</t>
  </si>
  <si>
    <t>Other questions</t>
  </si>
  <si>
    <t>WHAT INFORMATION IS ALREADY BEING/BEEN COLLECTED BY FARM VISITS AND FARM SURVEYS ON THESE FARMS?</t>
  </si>
  <si>
    <t>Management cost of bedding &amp; cultivating &amp; emptying the pack or cleaning stalls or scraping manure or moving manure or turning/composting manure/compost and spreading manure?</t>
  </si>
  <si>
    <t xml:space="preserve">Was any cull  rate change due to lameness </t>
  </si>
  <si>
    <t>how long have you had this housing sytem</t>
  </si>
  <si>
    <t>Have you changed the type of bedding or management of the bedding/housing in the last few years.  If so how and over what time frame</t>
  </si>
  <si>
    <t>Have you observed any change in cull rate - change these to "how has the cull rate changed"</t>
  </si>
  <si>
    <r>
      <t xml:space="preserve">STALLS:  </t>
    </r>
    <r>
      <rPr>
        <sz val="11"/>
        <color theme="1"/>
        <rFont val="Calibri"/>
        <family val="2"/>
        <scheme val="minor"/>
      </rPr>
      <t>bedding depth, freq cleaned, method cleaned, freq new material added, deep bed y/n, mattresses</t>
    </r>
  </si>
  <si>
    <t>asked about MASTITIS and HYGIENE but not SCC</t>
  </si>
  <si>
    <r>
      <rPr>
        <b/>
        <sz val="11"/>
        <color theme="1"/>
        <rFont val="Calibri"/>
        <family val="2"/>
        <scheme val="minor"/>
      </rPr>
      <t>for pack</t>
    </r>
    <r>
      <rPr>
        <sz val="11"/>
        <color theme="1"/>
        <rFont val="Calibri"/>
        <family val="2"/>
        <scheme val="minor"/>
      </rPr>
      <t xml:space="preserve"> we have sq feet per cow (size of pen and # animals on it, plus breed), estimated depth of pack currently, measurement for temp of pack; </t>
    </r>
    <r>
      <rPr>
        <b/>
        <sz val="11"/>
        <color theme="1"/>
        <rFont val="Calibri"/>
        <family val="2"/>
        <scheme val="minor"/>
      </rPr>
      <t>for stalls</t>
    </r>
    <r>
      <rPr>
        <sz val="11"/>
        <color theme="1"/>
        <rFont val="Calibri"/>
        <family val="2"/>
        <scheme val="minor"/>
      </rPr>
      <t xml:space="preserve"> we have stall width, body length, total length, brisket board y/n, freestall we have cows/stall; </t>
    </r>
    <r>
      <rPr>
        <b/>
        <sz val="11"/>
        <color theme="1"/>
        <rFont val="Calibri"/>
        <family val="2"/>
        <scheme val="minor"/>
      </rPr>
      <t xml:space="preserve">description of outdoor turnout </t>
    </r>
    <r>
      <rPr>
        <sz val="11"/>
        <color theme="1"/>
        <rFont val="Calibri"/>
        <family val="2"/>
        <scheme val="minor"/>
      </rPr>
      <t>(surface material, stocking density, size, how often cleaned, took a picture)</t>
    </r>
  </si>
  <si>
    <t>very detailed information on both type of housing and materials used</t>
  </si>
  <si>
    <t>Cells that are in orange are information we have already collected, to the left are some further explanations</t>
  </si>
  <si>
    <r>
      <t xml:space="preserve">PACK: </t>
    </r>
    <r>
      <rPr>
        <sz val="11"/>
        <color theme="1"/>
        <rFont val="Calibri"/>
        <family val="2"/>
        <scheme val="minor"/>
      </rPr>
      <t>how maintained (till/no till), animal density, what monitored (temp, density, moisture), est. amt material added per unit time (seasonality?), estimate of composition of materials, fed on pack y/n, initial construction of pack, was hygiene/mastitis affected</t>
    </r>
  </si>
  <si>
    <t>much of is was from our "observation sheet" -&gt;</t>
  </si>
  <si>
    <t>all of this is from the "written survey" -&gt;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</si>
</sst>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2">
    <numFmt numFmtId="5" formatCode="&quot;$&quot;#,##0_);\(&quot;$&quot;#,##0\)"/>
    <numFmt numFmtId="6" formatCode="&quot;$&quot;#,##0_);[Red]\(&quot;$&quot;#,##0\)"/>
    <numFmt numFmtId="8" formatCode="&quot;$&quot;#,##0.00_);[Red]\(&quot;$&quot;#,##0.00\)"/>
    <numFmt numFmtId="44" formatCode="_(&quot;$&quot;* #,##0.00_);_(&quot;$&quot;* \(#,##0.00\);_(&quot;$&quot;* &quot;-&quot;??_);_(@_)"/>
    <numFmt numFmtId="164" formatCode="0.00\ \ \ \ \ ;;"/>
    <numFmt numFmtId="165" formatCode="\ \ \ \ \ \ \ \ General"/>
    <numFmt numFmtId="166" formatCode="m/d/yy;@"/>
    <numFmt numFmtId="167" formatCode="0.0"/>
    <numFmt numFmtId="168" formatCode="General_)"/>
    <numFmt numFmtId="169" formatCode="_(&quot;$&quot;* #,##0_);_(&quot;$&quot;* \(#,##0\);_(&quot;$&quot;* &quot;-&quot;??_);_(@_)"/>
    <numFmt numFmtId="170" formatCode="#,##0.0"/>
    <numFmt numFmtId="171" formatCode="_([$$-409]* #,##0.00_);_([$$-409]* \(#,##0.00\);_([$$-409]* &quot;-&quot;??_);_(@_)"/>
  </numFmts>
  <fonts count="66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0"/>
      <color rgb="FF000000"/>
      <name val="Calibri"/>
      <family val="2"/>
      <scheme val="minor"/>
    </font>
    <font>
      <sz val="11"/>
      <color rgb="FF000000"/>
      <name val="Calibri"/>
      <family val="2"/>
      <scheme val="minor"/>
    </font>
    <font>
      <b/>
      <sz val="11"/>
      <color rgb="FF000000"/>
      <name val="Calibri"/>
      <family val="2"/>
      <scheme val="minor"/>
    </font>
    <font>
      <b/>
      <vertAlign val="superscript"/>
      <sz val="11"/>
      <color rgb="FF000000"/>
      <name val="Calibri"/>
      <family val="2"/>
      <scheme val="minor"/>
    </font>
    <font>
      <sz val="10"/>
      <color theme="1"/>
      <name val="Calibri"/>
      <family val="2"/>
      <scheme val="minor"/>
    </font>
    <font>
      <sz val="10"/>
      <color indexed="8"/>
      <name val="Arial"/>
      <family val="2"/>
    </font>
    <font>
      <sz val="9"/>
      <color indexed="8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9"/>
      <color indexed="10"/>
      <name val="Calibri"/>
      <family val="2"/>
      <scheme val="minor"/>
    </font>
    <font>
      <b/>
      <sz val="12"/>
      <color rgb="FFFF0000"/>
      <name val="Calibri"/>
      <family val="2"/>
      <scheme val="minor"/>
    </font>
    <font>
      <b/>
      <sz val="10"/>
      <name val="Arial"/>
      <family val="2"/>
    </font>
    <font>
      <b/>
      <vertAlign val="superscript"/>
      <sz val="10"/>
      <name val="Arial"/>
      <family val="2"/>
    </font>
    <font>
      <i/>
      <sz val="11"/>
      <color rgb="FFFF0000"/>
      <name val="Calibri"/>
      <family val="2"/>
      <scheme val="minor"/>
    </font>
    <font>
      <vertAlign val="superscript"/>
      <sz val="11"/>
      <color indexed="8"/>
      <name val="Calibri"/>
      <family val="2"/>
    </font>
    <font>
      <sz val="10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9"/>
      <name val="Calibri"/>
      <family val="2"/>
      <scheme val="minor"/>
    </font>
    <font>
      <sz val="11"/>
      <name val="Calibri"/>
      <family val="2"/>
      <scheme val="minor"/>
    </font>
    <font>
      <sz val="12"/>
      <color indexed="12"/>
      <name val="Arial"/>
      <family val="2"/>
    </font>
    <font>
      <sz val="11"/>
      <color indexed="8"/>
      <name val="Calibri"/>
      <family val="2"/>
      <scheme val="minor"/>
    </font>
    <font>
      <sz val="9"/>
      <color rgb="FF666666"/>
      <name val="Consolas"/>
      <family val="3"/>
    </font>
    <font>
      <sz val="10"/>
      <color rgb="FF574123"/>
      <name val="Lucida Console"/>
      <family val="3"/>
    </font>
    <font>
      <sz val="11"/>
      <color rgb="FF222426"/>
      <name val="Arial"/>
      <family val="2"/>
    </font>
    <font>
      <sz val="10"/>
      <color rgb="FF222426"/>
      <name val="Consolas"/>
      <family val="3"/>
    </font>
    <font>
      <sz val="10"/>
      <color rgb="FF7030A0"/>
      <name val="Consolas"/>
      <family val="3"/>
    </font>
    <font>
      <sz val="11"/>
      <color rgb="FF7030A0"/>
      <name val="Calibri"/>
      <family val="2"/>
      <scheme val="minor"/>
    </font>
    <font>
      <b/>
      <sz val="11"/>
      <color theme="1"/>
      <name val="Arial"/>
      <family val="2"/>
    </font>
    <font>
      <b/>
      <sz val="10"/>
      <color theme="1"/>
      <name val="Arial"/>
      <family val="2"/>
    </font>
    <font>
      <b/>
      <vertAlign val="superscript"/>
      <sz val="10"/>
      <color theme="1"/>
      <name val="Arial"/>
      <family val="2"/>
    </font>
    <font>
      <b/>
      <vertAlign val="superscript"/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u/>
      <sz val="14"/>
      <color theme="1"/>
      <name val="Calibri"/>
      <family val="2"/>
      <scheme val="minor"/>
    </font>
    <font>
      <b/>
      <vertAlign val="subscript"/>
      <sz val="11"/>
      <color theme="1"/>
      <name val="Calibri"/>
      <family val="2"/>
      <scheme val="minor"/>
    </font>
    <font>
      <sz val="10"/>
      <name val="Arial"/>
      <family val="2"/>
    </font>
    <font>
      <i/>
      <sz val="11"/>
      <color theme="1"/>
      <name val="Calibri"/>
      <family val="2"/>
      <scheme val="minor"/>
    </font>
    <font>
      <i/>
      <u/>
      <sz val="11"/>
      <color theme="1"/>
      <name val="Calibri"/>
      <family val="2"/>
      <scheme val="minor"/>
    </font>
    <font>
      <sz val="11"/>
      <name val="Times New Roman"/>
      <family val="1"/>
    </font>
    <font>
      <sz val="11"/>
      <color rgb="FFFF0000"/>
      <name val="Calibri"/>
      <family val="2"/>
      <scheme val="minor"/>
    </font>
    <font>
      <vertAlign val="superscript"/>
      <sz val="11"/>
      <color theme="1"/>
      <name val="Calibri"/>
      <family val="2"/>
      <scheme val="minor"/>
    </font>
    <font>
      <sz val="10.5"/>
      <color theme="1"/>
      <name val="Calibri"/>
      <family val="2"/>
      <scheme val="minor"/>
    </font>
    <font>
      <sz val="10"/>
      <name val="Courier"/>
      <family val="3"/>
    </font>
    <font>
      <b/>
      <sz val="11"/>
      <color indexed="8"/>
      <name val="Calibri"/>
      <family val="2"/>
      <scheme val="minor"/>
    </font>
    <font>
      <sz val="11"/>
      <color indexed="8"/>
      <name val="Times New Roman"/>
      <family val="1"/>
    </font>
    <font>
      <b/>
      <i/>
      <sz val="11"/>
      <color theme="1"/>
      <name val="Calibri"/>
      <family val="2"/>
      <scheme val="minor"/>
    </font>
    <font>
      <b/>
      <i/>
      <sz val="11"/>
      <color theme="1"/>
      <name val="Arial"/>
      <family val="2"/>
    </font>
    <font>
      <b/>
      <sz val="10"/>
      <color theme="1"/>
      <name val="Calibri"/>
      <family val="2"/>
      <scheme val="minor"/>
    </font>
    <font>
      <b/>
      <vertAlign val="superscript"/>
      <sz val="10"/>
      <color theme="1"/>
      <name val="Calibri"/>
      <family val="2"/>
      <scheme val="minor"/>
    </font>
    <font>
      <b/>
      <sz val="9.5"/>
      <color theme="1"/>
      <name val="Calibri"/>
      <family val="2"/>
      <scheme val="minor"/>
    </font>
    <font>
      <b/>
      <vertAlign val="superscript"/>
      <sz val="9.5"/>
      <color theme="1"/>
      <name val="Calibri"/>
      <family val="2"/>
      <scheme val="minor"/>
    </font>
    <font>
      <b/>
      <i/>
      <sz val="9.5"/>
      <color theme="1"/>
      <name val="Calibri"/>
      <family val="2"/>
      <scheme val="minor"/>
    </font>
    <font>
      <sz val="9"/>
      <name val="Arial"/>
      <family val="2"/>
    </font>
    <font>
      <b/>
      <sz val="9"/>
      <name val="Arial"/>
      <family val="2"/>
    </font>
    <font>
      <sz val="9"/>
      <color indexed="81"/>
      <name val="Tahoma"/>
      <family val="2"/>
    </font>
    <font>
      <i/>
      <sz val="12"/>
      <name val="Arial"/>
      <family val="2"/>
    </font>
    <font>
      <sz val="12"/>
      <name val="Arial"/>
      <family val="2"/>
    </font>
    <font>
      <b/>
      <i/>
      <sz val="12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vertAlign val="superscript"/>
      <sz val="9"/>
      <color indexed="81"/>
      <name val="Tahoma"/>
      <family val="2"/>
    </font>
    <font>
      <b/>
      <i/>
      <sz val="11"/>
      <color rgb="FF800000"/>
      <name val="Calibri"/>
      <family val="2"/>
    </font>
    <font>
      <u/>
      <sz val="11"/>
      <color theme="10"/>
      <name val="Calibri"/>
      <family val="2"/>
      <scheme val="minor"/>
    </font>
    <font>
      <b/>
      <u/>
      <sz val="11"/>
      <color theme="1"/>
      <name val="Calibri"/>
      <family val="2"/>
      <scheme val="minor"/>
    </font>
    <font>
      <sz val="11"/>
      <color rgb="FF002060"/>
      <name val="Calibri"/>
      <family val="2"/>
      <scheme val="minor"/>
    </font>
    <font>
      <b/>
      <sz val="11"/>
      <color rgb="FF002060"/>
      <name val="Calibri"/>
      <family val="2"/>
      <scheme val="minor"/>
    </font>
    <font>
      <b/>
      <sz val="11"/>
      <color theme="4" tint="-0.499984740745262"/>
      <name val="Calibri"/>
      <family val="2"/>
      <scheme val="minor"/>
    </font>
  </fonts>
  <fills count="19">
    <fill>
      <patternFill patternType="none"/>
    </fill>
    <fill>
      <patternFill patternType="gray125"/>
    </fill>
    <fill>
      <patternFill patternType="solid">
        <fgColor rgb="FFFFCCFF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E4FFC9"/>
        <bgColor indexed="64"/>
      </patternFill>
    </fill>
    <fill>
      <patternFill patternType="solid">
        <fgColor indexed="44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rgb="FF99FFCC"/>
        <bgColor indexed="64"/>
      </patternFill>
    </fill>
    <fill>
      <patternFill patternType="solid">
        <fgColor rgb="FFFFCCCC"/>
        <bgColor indexed="64"/>
      </patternFill>
    </fill>
    <fill>
      <patternFill patternType="solid">
        <fgColor rgb="FFCCFFCC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9" tint="0.59999389629810485"/>
        <bgColor indexed="64"/>
      </patternFill>
    </fill>
  </fills>
  <borders count="131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dashDot">
        <color indexed="64"/>
      </bottom>
      <diagonal/>
    </border>
    <border>
      <left/>
      <right/>
      <top/>
      <bottom style="dashDot">
        <color indexed="64"/>
      </bottom>
      <diagonal/>
    </border>
    <border>
      <left/>
      <right style="medium">
        <color indexed="64"/>
      </right>
      <top/>
      <bottom style="dashDot">
        <color indexed="64"/>
      </bottom>
      <diagonal/>
    </border>
    <border>
      <left style="medium">
        <color indexed="64"/>
      </left>
      <right style="medium">
        <color indexed="64"/>
      </right>
      <top/>
      <bottom style="dashDot">
        <color indexed="64"/>
      </bottom>
      <diagonal/>
    </border>
    <border>
      <left style="medium">
        <color indexed="64"/>
      </left>
      <right/>
      <top style="dashDot">
        <color indexed="64"/>
      </top>
      <bottom style="dashDot">
        <color indexed="64"/>
      </bottom>
      <diagonal/>
    </border>
    <border>
      <left/>
      <right/>
      <top style="dashDot">
        <color indexed="64"/>
      </top>
      <bottom style="dashDot">
        <color indexed="64"/>
      </bottom>
      <diagonal/>
    </border>
    <border>
      <left/>
      <right style="medium">
        <color indexed="64"/>
      </right>
      <top style="dashDot">
        <color indexed="64"/>
      </top>
      <bottom style="dashDot">
        <color indexed="64"/>
      </bottom>
      <diagonal/>
    </border>
    <border>
      <left style="medium">
        <color indexed="64"/>
      </left>
      <right style="medium">
        <color indexed="64"/>
      </right>
      <top style="dashDot">
        <color indexed="64"/>
      </top>
      <bottom style="dashDot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double">
        <color indexed="64"/>
      </left>
      <right/>
      <top style="double">
        <color indexed="64"/>
      </top>
      <bottom/>
      <diagonal/>
    </border>
    <border>
      <left/>
      <right/>
      <top style="double">
        <color indexed="64"/>
      </top>
      <bottom/>
      <diagonal/>
    </border>
    <border>
      <left/>
      <right style="double">
        <color indexed="64"/>
      </right>
      <top style="double">
        <color indexed="64"/>
      </top>
      <bottom/>
      <diagonal/>
    </border>
    <border>
      <left style="double">
        <color indexed="64"/>
      </left>
      <right/>
      <top/>
      <bottom/>
      <diagonal/>
    </border>
    <border>
      <left/>
      <right style="double">
        <color indexed="64"/>
      </right>
      <top/>
      <bottom/>
      <diagonal/>
    </border>
    <border>
      <left style="double">
        <color indexed="64"/>
      </left>
      <right/>
      <top/>
      <bottom style="double">
        <color indexed="64"/>
      </bottom>
      <diagonal/>
    </border>
    <border>
      <left/>
      <right/>
      <top/>
      <bottom style="double">
        <color indexed="64"/>
      </bottom>
      <diagonal/>
    </border>
    <border>
      <left/>
      <right style="double">
        <color indexed="64"/>
      </right>
      <top/>
      <bottom style="double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dashDot">
        <color indexed="64"/>
      </top>
      <bottom/>
      <diagonal/>
    </border>
    <border>
      <left/>
      <right style="medium">
        <color indexed="64"/>
      </right>
      <top style="dashDot">
        <color indexed="64"/>
      </top>
      <bottom/>
      <diagonal/>
    </border>
    <border>
      <left/>
      <right/>
      <top style="dashDot">
        <color indexed="64"/>
      </top>
      <bottom style="medium">
        <color indexed="64"/>
      </bottom>
      <diagonal/>
    </border>
    <border>
      <left/>
      <right style="medium">
        <color indexed="64"/>
      </right>
      <top style="dashDot">
        <color indexed="64"/>
      </top>
      <bottom style="medium">
        <color indexed="64"/>
      </bottom>
      <diagonal/>
    </border>
    <border>
      <left/>
      <right style="thin">
        <color indexed="64"/>
      </right>
      <top/>
      <bottom/>
      <diagonal/>
    </border>
    <border>
      <left style="medium">
        <color indexed="64"/>
      </left>
      <right/>
      <top style="dashDot">
        <color indexed="64"/>
      </top>
      <bottom/>
      <diagonal/>
    </border>
    <border>
      <left style="medium">
        <color indexed="64"/>
      </left>
      <right/>
      <top style="dashDot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medium">
        <color rgb="FFEDEDED"/>
      </left>
      <right style="medium">
        <color rgb="FFEDEDED"/>
      </right>
      <top style="medium">
        <color rgb="FFEDEDED"/>
      </top>
      <bottom style="medium">
        <color rgb="FFEDEDED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double">
        <color indexed="64"/>
      </left>
      <right style="double">
        <color indexed="64"/>
      </right>
      <top style="double">
        <color indexed="64"/>
      </top>
      <bottom style="double">
        <color indexed="64"/>
      </bottom>
      <diagonal/>
    </border>
    <border>
      <left style="double">
        <color indexed="64"/>
      </left>
      <right/>
      <top style="double">
        <color indexed="64"/>
      </top>
      <bottom style="medium">
        <color indexed="64"/>
      </bottom>
      <diagonal/>
    </border>
    <border>
      <left style="double">
        <color indexed="64"/>
      </left>
      <right/>
      <top style="medium">
        <color indexed="64"/>
      </top>
      <bottom/>
      <diagonal/>
    </border>
    <border>
      <left style="double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 style="thin">
        <color indexed="64"/>
      </right>
      <top style="thin">
        <color indexed="64"/>
      </top>
      <bottom style="double">
        <color indexed="64"/>
      </bottom>
      <diagonal/>
    </border>
    <border>
      <left style="medium">
        <color indexed="64"/>
      </left>
      <right style="double">
        <color indexed="64"/>
      </right>
      <top style="thin">
        <color indexed="64"/>
      </top>
      <bottom style="double">
        <color indexed="64"/>
      </bottom>
      <diagonal/>
    </border>
    <border>
      <left/>
      <right style="double">
        <color indexed="64"/>
      </right>
      <top style="medium">
        <color indexed="64"/>
      </top>
      <bottom/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double">
        <color indexed="64"/>
      </bottom>
      <diagonal/>
    </border>
    <border>
      <left/>
      <right/>
      <top style="double">
        <color indexed="64"/>
      </top>
      <bottom style="medium">
        <color indexed="64"/>
      </bottom>
      <diagonal/>
    </border>
    <border>
      <left style="medium">
        <color indexed="64"/>
      </left>
      <right style="double">
        <color indexed="64"/>
      </right>
      <top style="double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thick">
        <color indexed="64"/>
      </left>
      <right style="thick">
        <color indexed="64"/>
      </right>
      <top style="thick">
        <color indexed="64"/>
      </top>
      <bottom style="double">
        <color indexed="64"/>
      </bottom>
      <diagonal/>
    </border>
    <border>
      <left style="thick">
        <color indexed="64"/>
      </left>
      <right style="thick">
        <color indexed="64"/>
      </right>
      <top style="double">
        <color indexed="64"/>
      </top>
      <bottom style="double">
        <color indexed="64"/>
      </bottom>
      <diagonal/>
    </border>
    <border>
      <left style="thick">
        <color indexed="64"/>
      </left>
      <right style="thick">
        <color indexed="64"/>
      </right>
      <top style="double">
        <color indexed="64"/>
      </top>
      <bottom style="thick">
        <color indexed="64"/>
      </bottom>
      <diagonal/>
    </border>
    <border>
      <left style="thick">
        <color indexed="64"/>
      </left>
      <right style="thick">
        <color indexed="64"/>
      </right>
      <top style="thick">
        <color indexed="64"/>
      </top>
      <bottom/>
      <diagonal/>
    </border>
    <border>
      <left style="thick">
        <color indexed="64"/>
      </left>
      <right style="thick">
        <color indexed="64"/>
      </right>
      <top/>
      <bottom/>
      <diagonal/>
    </border>
    <border>
      <left style="thick">
        <color indexed="64"/>
      </left>
      <right style="thick">
        <color indexed="64"/>
      </right>
      <top/>
      <bottom style="thick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double">
        <color indexed="64"/>
      </left>
      <right style="double">
        <color indexed="64"/>
      </right>
      <top style="medium">
        <color indexed="64"/>
      </top>
      <bottom style="double">
        <color indexed="64"/>
      </bottom>
      <diagonal/>
    </border>
    <border>
      <left style="double">
        <color indexed="64"/>
      </left>
      <right/>
      <top style="medium">
        <color indexed="64"/>
      </top>
      <bottom style="double">
        <color indexed="64"/>
      </bottom>
      <diagonal/>
    </border>
    <border>
      <left/>
      <right style="double">
        <color indexed="64"/>
      </right>
      <top style="medium">
        <color indexed="64"/>
      </top>
      <bottom style="double">
        <color indexed="64"/>
      </bottom>
      <diagonal/>
    </border>
    <border>
      <left/>
      <right style="double">
        <color indexed="64"/>
      </right>
      <top style="thin">
        <color indexed="64"/>
      </top>
      <bottom/>
      <diagonal/>
    </border>
    <border>
      <left/>
      <right style="double">
        <color indexed="64"/>
      </right>
      <top style="double">
        <color indexed="64"/>
      </top>
      <bottom style="double">
        <color indexed="64"/>
      </bottom>
      <diagonal/>
    </border>
    <border>
      <left style="thick">
        <color indexed="64"/>
      </left>
      <right style="thick">
        <color indexed="64"/>
      </right>
      <top style="thick">
        <color indexed="64"/>
      </top>
      <bottom style="medium">
        <color indexed="64"/>
      </bottom>
      <diagonal/>
    </border>
    <border>
      <left style="thick">
        <color indexed="64"/>
      </left>
      <right style="thick">
        <color indexed="64"/>
      </right>
      <top style="medium">
        <color indexed="64"/>
      </top>
      <bottom/>
      <diagonal/>
    </border>
    <border>
      <left style="thick">
        <color indexed="64"/>
      </left>
      <right style="thick">
        <color indexed="64"/>
      </right>
      <top style="thin">
        <color indexed="64"/>
      </top>
      <bottom style="thin">
        <color indexed="64"/>
      </bottom>
      <diagonal/>
    </border>
    <border>
      <left style="thick">
        <color indexed="64"/>
      </left>
      <right style="thick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double">
        <color indexed="64"/>
      </left>
      <right style="double">
        <color indexed="64"/>
      </right>
      <top style="double">
        <color indexed="64"/>
      </top>
      <bottom style="medium">
        <color indexed="64"/>
      </bottom>
      <diagonal/>
    </border>
    <border>
      <left style="thick">
        <color indexed="64"/>
      </left>
      <right/>
      <top style="double">
        <color indexed="64"/>
      </top>
      <bottom style="medium">
        <color indexed="64"/>
      </bottom>
      <diagonal/>
    </border>
    <border>
      <left/>
      <right style="thick">
        <color indexed="64"/>
      </right>
      <top style="double">
        <color indexed="64"/>
      </top>
      <bottom style="medium">
        <color indexed="64"/>
      </bottom>
      <diagonal/>
    </border>
    <border>
      <left/>
      <right style="double">
        <color indexed="64"/>
      </right>
      <top style="medium">
        <color indexed="64"/>
      </top>
      <bottom style="medium">
        <color indexed="64"/>
      </bottom>
      <diagonal/>
    </border>
    <border>
      <left style="double">
        <color indexed="64"/>
      </left>
      <right/>
      <top style="double">
        <color indexed="64"/>
      </top>
      <bottom style="double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ck">
        <color indexed="64"/>
      </bottom>
      <diagonal/>
    </border>
    <border>
      <left style="thick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ck">
        <color indexed="64"/>
      </right>
      <top style="thin">
        <color indexed="64"/>
      </top>
      <bottom style="thin">
        <color indexed="64"/>
      </bottom>
      <diagonal/>
    </border>
    <border>
      <left style="thick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ck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ck">
        <color indexed="64"/>
      </bottom>
      <diagonal/>
    </border>
    <border>
      <left style="thick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ck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ck">
        <color indexed="64"/>
      </bottom>
      <diagonal/>
    </border>
    <border>
      <left style="thick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ck">
        <color indexed="64"/>
      </right>
      <top style="thin">
        <color indexed="64"/>
      </top>
      <bottom style="medium">
        <color indexed="64"/>
      </bottom>
      <diagonal/>
    </border>
    <border>
      <left style="thick">
        <color indexed="64"/>
      </left>
      <right/>
      <top style="thin">
        <color indexed="64"/>
      </top>
      <bottom style="thick">
        <color indexed="64"/>
      </bottom>
      <diagonal/>
    </border>
    <border>
      <left/>
      <right style="thick">
        <color indexed="64"/>
      </right>
      <top style="thin">
        <color indexed="64"/>
      </top>
      <bottom style="thick">
        <color indexed="64"/>
      </bottom>
      <diagonal/>
    </border>
    <border>
      <left/>
      <right/>
      <top/>
      <bottom style="thick">
        <color indexed="64"/>
      </bottom>
      <diagonal/>
    </border>
    <border>
      <left style="thin">
        <color indexed="64"/>
      </left>
      <right style="thin">
        <color indexed="64"/>
      </right>
      <top/>
      <bottom style="thick">
        <color indexed="64"/>
      </bottom>
      <diagonal/>
    </border>
    <border>
      <left style="thin">
        <color indexed="64"/>
      </left>
      <right style="thin">
        <color indexed="64"/>
      </right>
      <top style="thick">
        <color indexed="64"/>
      </top>
      <bottom style="thick">
        <color indexed="64"/>
      </bottom>
      <diagonal/>
    </border>
  </borders>
  <cellStyleXfs count="7">
    <xf numFmtId="0" fontId="0" fillId="0" borderId="0"/>
    <xf numFmtId="0" fontId="7" fillId="0" borderId="0"/>
    <xf numFmtId="0" fontId="35" fillId="0" borderId="0"/>
    <xf numFmtId="44" fontId="32" fillId="0" borderId="0" applyFont="0" applyFill="0" applyBorder="0" applyAlignment="0" applyProtection="0"/>
    <xf numFmtId="168" fontId="42" fillId="0" borderId="0"/>
    <xf numFmtId="9" fontId="32" fillId="0" borderId="0" applyFont="0" applyFill="0" applyBorder="0" applyAlignment="0" applyProtection="0"/>
    <xf numFmtId="0" fontId="61" fillId="0" borderId="0" applyNumberFormat="0" applyFill="0" applyBorder="0" applyAlignment="0" applyProtection="0"/>
  </cellStyleXfs>
  <cellXfs count="632">
    <xf numFmtId="0" fontId="0" fillId="0" borderId="0" xfId="0"/>
    <xf numFmtId="164" fontId="8" fillId="0" borderId="2" xfId="1" applyNumberFormat="1" applyFont="1" applyFill="1" applyBorder="1" applyAlignment="1" applyProtection="1">
      <alignment horizontal="left"/>
      <protection locked="0"/>
    </xf>
    <xf numFmtId="0" fontId="0" fillId="0" borderId="3" xfId="0" applyBorder="1"/>
    <xf numFmtId="164" fontId="8" fillId="0" borderId="7" xfId="1" applyNumberFormat="1" applyFont="1" applyFill="1" applyBorder="1" applyAlignment="1" applyProtection="1">
      <alignment horizontal="right"/>
      <protection locked="0"/>
    </xf>
    <xf numFmtId="164" fontId="8" fillId="0" borderId="0" xfId="1" applyNumberFormat="1" applyFont="1" applyFill="1" applyBorder="1" applyAlignment="1" applyProtection="1">
      <alignment horizontal="right"/>
      <protection locked="0"/>
    </xf>
    <xf numFmtId="165" fontId="10" fillId="0" borderId="0" xfId="1" applyNumberFormat="1" applyFont="1" applyFill="1" applyBorder="1" applyAlignment="1">
      <alignment horizontal="left"/>
    </xf>
    <xf numFmtId="0" fontId="0" fillId="0" borderId="0" xfId="0" applyBorder="1"/>
    <xf numFmtId="0" fontId="12" fillId="3" borderId="13" xfId="0" applyFont="1" applyFill="1" applyBorder="1" applyAlignment="1">
      <alignment horizontal="center"/>
    </xf>
    <xf numFmtId="0" fontId="12" fillId="3" borderId="12" xfId="0" applyFont="1" applyFill="1" applyBorder="1" applyAlignment="1">
      <alignment horizontal="center"/>
    </xf>
    <xf numFmtId="0" fontId="0" fillId="2" borderId="13" xfId="0" applyFill="1" applyBorder="1" applyAlignment="1">
      <alignment horizontal="center"/>
    </xf>
    <xf numFmtId="0" fontId="14" fillId="3" borderId="1" xfId="0" applyFont="1" applyFill="1" applyBorder="1"/>
    <xf numFmtId="0" fontId="0" fillId="3" borderId="13" xfId="0" applyFill="1" applyBorder="1"/>
    <xf numFmtId="0" fontId="14" fillId="3" borderId="4" xfId="0" applyFont="1" applyFill="1" applyBorder="1"/>
    <xf numFmtId="0" fontId="0" fillId="3" borderId="4" xfId="0" applyFill="1" applyBorder="1"/>
    <xf numFmtId="0" fontId="0" fillId="2" borderId="16" xfId="0" applyFill="1" applyBorder="1" applyAlignment="1">
      <alignment horizontal="center"/>
    </xf>
    <xf numFmtId="0" fontId="0" fillId="3" borderId="17" xfId="0" applyFill="1" applyBorder="1"/>
    <xf numFmtId="0" fontId="0" fillId="2" borderId="20" xfId="0" applyFill="1" applyBorder="1" applyAlignment="1">
      <alignment horizontal="center"/>
    </xf>
    <xf numFmtId="0" fontId="0" fillId="3" borderId="21" xfId="0" applyFill="1" applyBorder="1"/>
    <xf numFmtId="0" fontId="0" fillId="3" borderId="20" xfId="0" applyFill="1" applyBorder="1"/>
    <xf numFmtId="0" fontId="14" fillId="3" borderId="20" xfId="0" applyFont="1" applyFill="1" applyBorder="1"/>
    <xf numFmtId="0" fontId="14" fillId="2" borderId="13" xfId="0" applyFont="1" applyFill="1" applyBorder="1" applyAlignment="1">
      <alignment horizontal="center"/>
    </xf>
    <xf numFmtId="0" fontId="14" fillId="2" borderId="16" xfId="0" applyFont="1" applyFill="1" applyBorder="1" applyAlignment="1">
      <alignment horizontal="center"/>
    </xf>
    <xf numFmtId="0" fontId="0" fillId="0" borderId="23" xfId="0" applyBorder="1"/>
    <xf numFmtId="0" fontId="14" fillId="2" borderId="24" xfId="0" applyFont="1" applyFill="1" applyBorder="1" applyAlignment="1">
      <alignment horizontal="center"/>
    </xf>
    <xf numFmtId="0" fontId="0" fillId="3" borderId="12" xfId="0" applyFill="1" applyBorder="1"/>
    <xf numFmtId="0" fontId="0" fillId="3" borderId="24" xfId="0" applyFill="1" applyBorder="1"/>
    <xf numFmtId="0" fontId="1" fillId="0" borderId="0" xfId="0" applyFont="1"/>
    <xf numFmtId="1" fontId="0" fillId="5" borderId="27" xfId="0" quotePrefix="1" applyNumberFormat="1" applyFill="1" applyBorder="1" applyAlignment="1">
      <alignment horizontal="center"/>
    </xf>
    <xf numFmtId="1" fontId="0" fillId="5" borderId="11" xfId="0" quotePrefix="1" applyNumberFormat="1" applyFill="1" applyBorder="1" applyAlignment="1">
      <alignment horizontal="center"/>
    </xf>
    <xf numFmtId="1" fontId="0" fillId="5" borderId="29" xfId="0" quotePrefix="1" applyNumberFormat="1" applyFill="1" applyBorder="1" applyAlignment="1">
      <alignment horizontal="center"/>
    </xf>
    <xf numFmtId="1" fontId="0" fillId="5" borderId="30" xfId="0" quotePrefix="1" applyNumberFormat="1" applyFill="1" applyBorder="1" applyAlignment="1">
      <alignment horizontal="center"/>
    </xf>
    <xf numFmtId="1" fontId="0" fillId="5" borderId="32" xfId="0" applyNumberFormat="1" applyFill="1" applyBorder="1" applyAlignment="1">
      <alignment horizontal="center"/>
    </xf>
    <xf numFmtId="1" fontId="0" fillId="5" borderId="0" xfId="0" applyNumberFormat="1" applyFill="1" applyBorder="1" applyAlignment="1">
      <alignment horizontal="center"/>
    </xf>
    <xf numFmtId="0" fontId="0" fillId="0" borderId="33" xfId="0" applyNumberFormat="1" applyFill="1" applyBorder="1" applyAlignment="1">
      <alignment wrapText="1"/>
    </xf>
    <xf numFmtId="0" fontId="0" fillId="0" borderId="0" xfId="0" applyNumberFormat="1" applyFill="1" applyBorder="1" applyAlignment="1">
      <alignment wrapText="1"/>
    </xf>
    <xf numFmtId="0" fontId="0" fillId="0" borderId="33" xfId="0" applyNumberFormat="1" applyFill="1" applyBorder="1" applyAlignment="1">
      <alignment vertical="center" wrapText="1"/>
    </xf>
    <xf numFmtId="0" fontId="0" fillId="0" borderId="0" xfId="0" applyNumberFormat="1" applyFill="1" applyBorder="1" applyAlignment="1">
      <alignment vertical="center" wrapText="1"/>
    </xf>
    <xf numFmtId="0" fontId="16" fillId="6" borderId="31" xfId="0" applyFont="1" applyFill="1" applyBorder="1"/>
    <xf numFmtId="0" fontId="16" fillId="7" borderId="0" xfId="0" applyFont="1" applyFill="1" applyBorder="1"/>
    <xf numFmtId="0" fontId="0" fillId="8" borderId="0" xfId="0" applyFill="1"/>
    <xf numFmtId="0" fontId="0" fillId="8" borderId="2" xfId="0" applyFill="1" applyBorder="1"/>
    <xf numFmtId="0" fontId="0" fillId="8" borderId="3" xfId="0" applyFill="1" applyBorder="1"/>
    <xf numFmtId="0" fontId="0" fillId="8" borderId="25" xfId="0" applyFill="1" applyBorder="1"/>
    <xf numFmtId="0" fontId="0" fillId="8" borderId="7" xfId="0" applyFill="1" applyBorder="1"/>
    <xf numFmtId="0" fontId="0" fillId="8" borderId="0" xfId="0" applyFill="1" applyBorder="1"/>
    <xf numFmtId="0" fontId="0" fillId="8" borderId="13" xfId="0" applyFill="1" applyBorder="1"/>
    <xf numFmtId="0" fontId="0" fillId="8" borderId="22" xfId="0" applyFill="1" applyBorder="1"/>
    <xf numFmtId="0" fontId="0" fillId="8" borderId="23" xfId="0" applyFill="1" applyBorder="1"/>
    <xf numFmtId="0" fontId="0" fillId="8" borderId="24" xfId="0" applyFill="1" applyBorder="1"/>
    <xf numFmtId="0" fontId="17" fillId="8" borderId="0" xfId="0" applyFont="1" applyFill="1" applyBorder="1"/>
    <xf numFmtId="0" fontId="18" fillId="0" borderId="0" xfId="0" applyFont="1" applyBorder="1" applyAlignment="1" applyProtection="1">
      <alignment horizontal="right"/>
      <protection locked="0"/>
    </xf>
    <xf numFmtId="0" fontId="18" fillId="9" borderId="11" xfId="0" applyFont="1" applyFill="1" applyBorder="1" applyAlignment="1" applyProtection="1">
      <alignment horizontal="left" vertical="center" indent="1"/>
      <protection locked="0"/>
    </xf>
    <xf numFmtId="0" fontId="0" fillId="0" borderId="0" xfId="0" applyAlignment="1">
      <alignment horizontal="right"/>
    </xf>
    <xf numFmtId="0" fontId="18" fillId="0" borderId="0" xfId="0" applyFont="1" applyFill="1" applyBorder="1" applyAlignment="1" applyProtection="1">
      <alignment horizontal="left" vertical="center" indent="1"/>
      <protection locked="0"/>
    </xf>
    <xf numFmtId="14" fontId="18" fillId="9" borderId="11" xfId="0" applyNumberFormat="1" applyFont="1" applyFill="1" applyBorder="1" applyAlignment="1" applyProtection="1">
      <alignment horizontal="center" vertical="center"/>
      <protection locked="0"/>
    </xf>
    <xf numFmtId="0" fontId="18" fillId="0" borderId="0" xfId="0" applyFont="1" applyFill="1" applyBorder="1" applyAlignment="1" applyProtection="1">
      <alignment horizontal="right"/>
      <protection locked="0"/>
    </xf>
    <xf numFmtId="166" fontId="18" fillId="0" borderId="0" xfId="0" applyNumberFormat="1" applyFont="1" applyFill="1" applyBorder="1" applyAlignment="1" applyProtection="1">
      <alignment horizontal="center" vertical="center"/>
      <protection locked="0"/>
    </xf>
    <xf numFmtId="0" fontId="0" fillId="0" borderId="0" xfId="0" applyFill="1" applyBorder="1"/>
    <xf numFmtId="0" fontId="19" fillId="0" borderId="0" xfId="0" applyFont="1" applyBorder="1" applyAlignment="1" applyProtection="1">
      <alignment horizontal="right"/>
      <protection locked="0"/>
    </xf>
    <xf numFmtId="0" fontId="1" fillId="0" borderId="40" xfId="0" applyFont="1" applyFill="1" applyBorder="1" applyProtection="1"/>
    <xf numFmtId="0" fontId="0" fillId="0" borderId="41" xfId="0" applyFill="1" applyBorder="1" applyProtection="1"/>
    <xf numFmtId="0" fontId="20" fillId="0" borderId="41" xfId="0" applyFont="1" applyFill="1" applyBorder="1" applyAlignment="1" applyProtection="1">
      <alignment horizontal="center"/>
      <protection locked="0"/>
    </xf>
    <xf numFmtId="0" fontId="0" fillId="0" borderId="41" xfId="0" applyBorder="1"/>
    <xf numFmtId="0" fontId="0" fillId="0" borderId="42" xfId="0" applyBorder="1"/>
    <xf numFmtId="0" fontId="0" fillId="0" borderId="43" xfId="0" applyBorder="1"/>
    <xf numFmtId="0" fontId="0" fillId="0" borderId="0" xfId="0" applyFill="1" applyBorder="1" applyProtection="1"/>
    <xf numFmtId="0" fontId="20" fillId="0" borderId="0" xfId="0" applyFont="1" applyFill="1" applyBorder="1" applyAlignment="1" applyProtection="1">
      <alignment horizontal="center"/>
      <protection locked="0"/>
    </xf>
    <xf numFmtId="0" fontId="0" fillId="0" borderId="44" xfId="0" applyBorder="1"/>
    <xf numFmtId="0" fontId="0" fillId="0" borderId="43" xfId="0" applyFill="1" applyBorder="1" applyProtection="1"/>
    <xf numFmtId="0" fontId="0" fillId="0" borderId="45" xfId="0" applyFill="1" applyBorder="1" applyProtection="1"/>
    <xf numFmtId="0" fontId="0" fillId="0" borderId="46" xfId="0" applyFill="1" applyBorder="1" applyProtection="1"/>
    <xf numFmtId="0" fontId="20" fillId="0" borderId="46" xfId="0" applyFont="1" applyFill="1" applyBorder="1" applyAlignment="1" applyProtection="1">
      <alignment horizontal="center"/>
      <protection locked="0"/>
    </xf>
    <xf numFmtId="0" fontId="0" fillId="0" borderId="46" xfId="0" applyBorder="1"/>
    <xf numFmtId="0" fontId="0" fillId="0" borderId="47" xfId="0" applyBorder="1"/>
    <xf numFmtId="0" fontId="19" fillId="0" borderId="0" xfId="0" applyFont="1"/>
    <xf numFmtId="0" fontId="0" fillId="0" borderId="0" xfId="0" applyFont="1"/>
    <xf numFmtId="0" fontId="16" fillId="0" borderId="0" xfId="0" applyFont="1"/>
    <xf numFmtId="2" fontId="16" fillId="11" borderId="31" xfId="0" applyNumberFormat="1" applyFont="1" applyFill="1" applyBorder="1" applyAlignment="1" applyProtection="1">
      <alignment horizontal="center"/>
      <protection locked="0"/>
    </xf>
    <xf numFmtId="0" fontId="9" fillId="0" borderId="0" xfId="0" applyFont="1"/>
    <xf numFmtId="0" fontId="0" fillId="0" borderId="26" xfId="0" applyBorder="1" applyAlignment="1"/>
    <xf numFmtId="0" fontId="0" fillId="3" borderId="16" xfId="0" applyFill="1" applyBorder="1"/>
    <xf numFmtId="0" fontId="0" fillId="0" borderId="26" xfId="0" applyBorder="1" applyAlignment="1">
      <alignment horizontal="left"/>
    </xf>
    <xf numFmtId="0" fontId="0" fillId="0" borderId="6" xfId="0" applyBorder="1" applyAlignment="1">
      <alignment horizontal="center"/>
    </xf>
    <xf numFmtId="0" fontId="0" fillId="0" borderId="5" xfId="0" applyBorder="1" applyAlignment="1">
      <alignment horizontal="center"/>
    </xf>
    <xf numFmtId="0" fontId="0" fillId="0" borderId="4" xfId="0" applyBorder="1"/>
    <xf numFmtId="0" fontId="0" fillId="0" borderId="4" xfId="0" applyFill="1" applyBorder="1"/>
    <xf numFmtId="0" fontId="0" fillId="0" borderId="12" xfId="0" applyBorder="1"/>
    <xf numFmtId="0" fontId="2" fillId="2" borderId="1" xfId="0" applyFont="1" applyFill="1" applyBorder="1" applyAlignment="1">
      <alignment horizontal="center" vertical="center" wrapText="1"/>
    </xf>
    <xf numFmtId="0" fontId="2" fillId="2" borderId="4" xfId="0" applyFont="1" applyFill="1" applyBorder="1" applyAlignment="1">
      <alignment horizontal="center" vertical="center" wrapText="1"/>
    </xf>
    <xf numFmtId="0" fontId="2" fillId="2" borderId="12" xfId="0" applyFont="1" applyFill="1" applyBorder="1" applyAlignment="1">
      <alignment horizontal="center" vertical="center" wrapText="1"/>
    </xf>
    <xf numFmtId="0" fontId="0" fillId="0" borderId="2" xfId="0" applyBorder="1" applyAlignment="1"/>
    <xf numFmtId="0" fontId="0" fillId="0" borderId="3" xfId="0" applyBorder="1" applyAlignment="1"/>
    <xf numFmtId="0" fontId="0" fillId="0" borderId="0" xfId="0" applyBorder="1" applyAlignment="1">
      <alignment horizontal="left"/>
    </xf>
    <xf numFmtId="0" fontId="0" fillId="0" borderId="7" xfId="0" applyBorder="1" applyAlignment="1"/>
    <xf numFmtId="0" fontId="0" fillId="0" borderId="0" xfId="0" applyBorder="1" applyAlignment="1"/>
    <xf numFmtId="0" fontId="21" fillId="0" borderId="3" xfId="1" applyFont="1" applyFill="1" applyBorder="1" applyAlignment="1"/>
    <xf numFmtId="0" fontId="21" fillId="0" borderId="0" xfId="1" applyFont="1" applyFill="1" applyBorder="1" applyAlignment="1"/>
    <xf numFmtId="0" fontId="0" fillId="0" borderId="22" xfId="0" applyBorder="1" applyAlignment="1">
      <alignment wrapText="1"/>
    </xf>
    <xf numFmtId="0" fontId="0" fillId="0" borderId="0" xfId="0" applyFill="1" applyBorder="1" applyAlignment="1"/>
    <xf numFmtId="0" fontId="21" fillId="0" borderId="23" xfId="1" applyFont="1" applyFill="1" applyBorder="1" applyAlignment="1"/>
    <xf numFmtId="0" fontId="0" fillId="2" borderId="24" xfId="0" applyFill="1" applyBorder="1" applyAlignment="1">
      <alignment horizontal="center"/>
    </xf>
    <xf numFmtId="0" fontId="0" fillId="3" borderId="1" xfId="0" applyFill="1" applyBorder="1"/>
    <xf numFmtId="0" fontId="14" fillId="3" borderId="13" xfId="0" applyFont="1" applyFill="1" applyBorder="1"/>
    <xf numFmtId="0" fontId="0" fillId="0" borderId="22" xfId="0" applyBorder="1" applyAlignment="1"/>
    <xf numFmtId="0" fontId="0" fillId="0" borderId="23" xfId="0" applyBorder="1" applyAlignment="1"/>
    <xf numFmtId="0" fontId="22" fillId="0" borderId="67" xfId="0" applyFont="1" applyBorder="1" applyAlignment="1">
      <alignment horizontal="left" vertical="center" indent="2"/>
    </xf>
    <xf numFmtId="0" fontId="22" fillId="0" borderId="0" xfId="0" applyFont="1"/>
    <xf numFmtId="0" fontId="0" fillId="0" borderId="0" xfId="0" quotePrefix="1"/>
    <xf numFmtId="0" fontId="23" fillId="0" borderId="0" xfId="0" applyFont="1"/>
    <xf numFmtId="0" fontId="25" fillId="0" borderId="0" xfId="0" applyFont="1" applyAlignment="1"/>
    <xf numFmtId="0" fontId="24" fillId="0" borderId="0" xfId="0" applyFont="1" applyAlignment="1"/>
    <xf numFmtId="0" fontId="26" fillId="0" borderId="0" xfId="0" applyFont="1" applyAlignment="1"/>
    <xf numFmtId="0" fontId="27" fillId="0" borderId="0" xfId="0" applyFont="1"/>
    <xf numFmtId="0" fontId="0" fillId="7" borderId="0" xfId="0" applyFont="1" applyFill="1" applyBorder="1"/>
    <xf numFmtId="0" fontId="1" fillId="7" borderId="0" xfId="0" applyFont="1" applyFill="1" applyBorder="1"/>
    <xf numFmtId="0" fontId="0" fillId="0" borderId="68" xfId="0" applyBorder="1" applyAlignment="1">
      <alignment horizontal="left"/>
    </xf>
    <xf numFmtId="0" fontId="25" fillId="0" borderId="0" xfId="0" applyFont="1" applyBorder="1" applyAlignment="1"/>
    <xf numFmtId="0" fontId="23" fillId="0" borderId="0" xfId="0" applyFont="1" applyBorder="1" applyAlignment="1">
      <alignment horizontal="left" vertical="center" readingOrder="1"/>
    </xf>
    <xf numFmtId="0" fontId="28" fillId="0" borderId="0" xfId="0" applyFont="1"/>
    <xf numFmtId="0" fontId="16" fillId="10" borderId="68" xfId="0" applyFont="1" applyFill="1" applyBorder="1" applyAlignment="1" applyProtection="1">
      <alignment horizontal="center"/>
      <protection locked="0"/>
    </xf>
    <xf numFmtId="0" fontId="16" fillId="9" borderId="52" xfId="0" applyFont="1" applyFill="1" applyBorder="1" applyAlignment="1" applyProtection="1">
      <alignment horizontal="center"/>
      <protection locked="0"/>
    </xf>
    <xf numFmtId="0" fontId="16" fillId="9" borderId="31" xfId="0" applyFont="1" applyFill="1" applyBorder="1" applyAlignment="1" applyProtection="1">
      <alignment horizontal="center"/>
      <protection locked="0"/>
    </xf>
    <xf numFmtId="0" fontId="16" fillId="9" borderId="57" xfId="0" applyFont="1" applyFill="1" applyBorder="1" applyAlignment="1" applyProtection="1">
      <alignment horizontal="center"/>
      <protection locked="0"/>
    </xf>
    <xf numFmtId="0" fontId="0" fillId="0" borderId="10" xfId="0" applyBorder="1" applyAlignment="1">
      <alignment horizontal="center"/>
    </xf>
    <xf numFmtId="167" fontId="19" fillId="11" borderId="31" xfId="0" applyNumberFormat="1" applyFont="1" applyFill="1" applyBorder="1" applyAlignment="1" applyProtection="1">
      <alignment horizontal="center"/>
      <protection locked="0"/>
    </xf>
    <xf numFmtId="1" fontId="19" fillId="11" borderId="31" xfId="0" applyNumberFormat="1" applyFont="1" applyFill="1" applyBorder="1" applyAlignment="1" applyProtection="1">
      <alignment horizontal="center"/>
      <protection locked="0"/>
    </xf>
    <xf numFmtId="0" fontId="1" fillId="0" borderId="0" xfId="0" applyFont="1" applyAlignment="1">
      <alignment horizontal="right"/>
    </xf>
    <xf numFmtId="0" fontId="0" fillId="0" borderId="0" xfId="0" applyAlignment="1">
      <alignment horizontal="left"/>
    </xf>
    <xf numFmtId="0" fontId="1" fillId="0" borderId="88" xfId="0" applyFont="1" applyBorder="1" applyAlignment="1">
      <alignment horizontal="center"/>
    </xf>
    <xf numFmtId="0" fontId="1" fillId="0" borderId="0" xfId="0" applyFont="1" applyFill="1" applyBorder="1"/>
    <xf numFmtId="0" fontId="36" fillId="0" borderId="0" xfId="0" applyFont="1" applyFill="1" applyBorder="1" applyAlignment="1">
      <alignment horizontal="left"/>
    </xf>
    <xf numFmtId="0" fontId="36" fillId="0" borderId="0" xfId="0" applyFont="1" applyAlignment="1">
      <alignment horizontal="left"/>
    </xf>
    <xf numFmtId="0" fontId="38" fillId="0" borderId="0" xfId="2" applyFont="1" applyFill="1" applyBorder="1" applyAlignment="1" applyProtection="1">
      <alignment horizontal="right" vertical="center"/>
    </xf>
    <xf numFmtId="167" fontId="38" fillId="0" borderId="0" xfId="2" applyNumberFormat="1" applyFont="1" applyFill="1" applyBorder="1" applyAlignment="1" applyProtection="1">
      <alignment horizontal="center" vertical="center"/>
    </xf>
    <xf numFmtId="0" fontId="0" fillId="0" borderId="0" xfId="0" applyFont="1" applyBorder="1"/>
    <xf numFmtId="0" fontId="9" fillId="0" borderId="0" xfId="0" applyFont="1" applyFill="1" applyBorder="1" applyAlignment="1">
      <alignment horizontal="center"/>
    </xf>
    <xf numFmtId="0" fontId="14" fillId="0" borderId="0" xfId="0" applyFont="1"/>
    <xf numFmtId="0" fontId="0" fillId="0" borderId="0" xfId="0" applyBorder="1" applyAlignment="1">
      <alignment vertical="top" wrapText="1"/>
    </xf>
    <xf numFmtId="168" fontId="21" fillId="0" borderId="0" xfId="4" applyFont="1" applyFill="1" applyBorder="1" applyAlignment="1" applyProtection="1">
      <alignment horizontal="right" vertical="center"/>
    </xf>
    <xf numFmtId="0" fontId="43" fillId="0" borderId="0" xfId="2" applyFont="1" applyFill="1" applyBorder="1" applyAlignment="1" applyProtection="1">
      <alignment horizontal="left" vertical="center"/>
    </xf>
    <xf numFmtId="167" fontId="44" fillId="0" borderId="0" xfId="2" applyNumberFormat="1" applyFont="1" applyFill="1" applyBorder="1" applyAlignment="1" applyProtection="1">
      <alignment horizontal="center" vertical="center"/>
    </xf>
    <xf numFmtId="0" fontId="39" fillId="0" borderId="0" xfId="0" applyFont="1"/>
    <xf numFmtId="0" fontId="17" fillId="7" borderId="0" xfId="0" applyFont="1" applyFill="1" applyBorder="1"/>
    <xf numFmtId="0" fontId="0" fillId="7" borderId="0" xfId="0" applyFill="1" applyBorder="1"/>
    <xf numFmtId="1" fontId="16" fillId="11" borderId="99" xfId="0" applyNumberFormat="1" applyFont="1" applyFill="1" applyBorder="1" applyAlignment="1" applyProtection="1">
      <alignment horizontal="center"/>
      <protection locked="0"/>
    </xf>
    <xf numFmtId="1" fontId="16" fillId="11" borderId="75" xfId="0" applyNumberFormat="1" applyFont="1" applyFill="1" applyBorder="1" applyAlignment="1" applyProtection="1">
      <alignment horizontal="center"/>
      <protection locked="0"/>
    </xf>
    <xf numFmtId="1" fontId="16" fillId="11" borderId="76" xfId="0" applyNumberFormat="1" applyFont="1" applyFill="1" applyBorder="1" applyAlignment="1" applyProtection="1">
      <alignment horizontal="center"/>
      <protection locked="0"/>
    </xf>
    <xf numFmtId="1" fontId="0" fillId="11" borderId="77" xfId="0" applyNumberFormat="1" applyFill="1" applyBorder="1" applyAlignment="1">
      <alignment horizontal="center"/>
    </xf>
    <xf numFmtId="0" fontId="1" fillId="0" borderId="68" xfId="0" applyFont="1" applyBorder="1" applyAlignment="1">
      <alignment horizontal="center" vertical="center" wrapText="1"/>
    </xf>
    <xf numFmtId="0" fontId="1" fillId="0" borderId="0" xfId="0" applyFont="1" applyAlignment="1">
      <alignment horizontal="left"/>
    </xf>
    <xf numFmtId="169" fontId="16" fillId="11" borderId="28" xfId="3" applyNumberFormat="1" applyFont="1" applyFill="1" applyBorder="1" applyAlignment="1" applyProtection="1">
      <alignment horizontal="center"/>
      <protection locked="0"/>
    </xf>
    <xf numFmtId="0" fontId="0" fillId="0" borderId="41" xfId="0" applyFont="1" applyBorder="1"/>
    <xf numFmtId="0" fontId="16" fillId="10" borderId="80" xfId="0" applyFont="1" applyFill="1" applyBorder="1" applyAlignment="1" applyProtection="1">
      <alignment horizontal="right"/>
      <protection locked="0"/>
    </xf>
    <xf numFmtId="0" fontId="19" fillId="0" borderId="0" xfId="0" applyFont="1" applyBorder="1"/>
    <xf numFmtId="0" fontId="0" fillId="0" borderId="45" xfId="0" applyBorder="1"/>
    <xf numFmtId="0" fontId="16" fillId="9" borderId="80" xfId="0" applyFont="1" applyFill="1" applyBorder="1" applyAlignment="1" applyProtection="1">
      <protection locked="0"/>
    </xf>
    <xf numFmtId="0" fontId="41" fillId="0" borderId="40" xfId="0" applyFont="1" applyBorder="1"/>
    <xf numFmtId="0" fontId="18" fillId="11" borderId="11" xfId="0" applyFont="1" applyFill="1" applyBorder="1" applyAlignment="1" applyProtection="1">
      <alignment horizontal="left" vertical="center" indent="1"/>
      <protection locked="0"/>
    </xf>
    <xf numFmtId="14" fontId="18" fillId="11" borderId="11" xfId="0" applyNumberFormat="1" applyFont="1" applyFill="1" applyBorder="1" applyAlignment="1" applyProtection="1">
      <alignment horizontal="center" vertical="center"/>
      <protection locked="0"/>
    </xf>
    <xf numFmtId="169" fontId="0" fillId="11" borderId="101" xfId="3" applyNumberFormat="1" applyFont="1" applyFill="1" applyBorder="1" applyAlignment="1">
      <alignment horizontal="center"/>
    </xf>
    <xf numFmtId="169" fontId="0" fillId="11" borderId="102" xfId="3" applyNumberFormat="1" applyFont="1" applyFill="1" applyBorder="1" applyAlignment="1">
      <alignment horizontal="center"/>
    </xf>
    <xf numFmtId="8" fontId="0" fillId="0" borderId="0" xfId="0" applyNumberFormat="1"/>
    <xf numFmtId="0" fontId="1" fillId="0" borderId="0" xfId="0" applyFont="1" applyBorder="1" applyAlignment="1">
      <alignment horizontal="center"/>
    </xf>
    <xf numFmtId="0" fontId="1" fillId="0" borderId="0" xfId="0" applyFont="1" applyAlignment="1">
      <alignment horizontal="center"/>
    </xf>
    <xf numFmtId="44" fontId="0" fillId="0" borderId="0" xfId="3" applyFont="1"/>
    <xf numFmtId="0" fontId="0" fillId="0" borderId="0" xfId="0" applyAlignment="1">
      <alignment horizontal="left" indent="1"/>
    </xf>
    <xf numFmtId="0" fontId="1" fillId="0" borderId="0" xfId="0" applyFont="1" applyAlignment="1">
      <alignment horizontal="left" indent="1"/>
    </xf>
    <xf numFmtId="0" fontId="19" fillId="0" borderId="0" xfId="0" applyFont="1" applyFill="1" applyBorder="1"/>
    <xf numFmtId="0" fontId="17" fillId="8" borderId="0" xfId="0" applyFont="1" applyFill="1" applyBorder="1" applyAlignment="1">
      <alignment horizontal="right"/>
    </xf>
    <xf numFmtId="167" fontId="0" fillId="13" borderId="31" xfId="0" applyNumberFormat="1" applyFill="1" applyBorder="1"/>
    <xf numFmtId="167" fontId="0" fillId="13" borderId="85" xfId="0" applyNumberFormat="1" applyFill="1" applyBorder="1" applyAlignment="1">
      <alignment horizontal="center"/>
    </xf>
    <xf numFmtId="169" fontId="0" fillId="13" borderId="85" xfId="3" applyNumberFormat="1" applyFont="1" applyFill="1" applyBorder="1" applyAlignment="1">
      <alignment horizontal="center"/>
    </xf>
    <xf numFmtId="169" fontId="0" fillId="13" borderId="77" xfId="3" applyNumberFormat="1" applyFont="1" applyFill="1" applyBorder="1" applyAlignment="1">
      <alignment horizontal="center"/>
    </xf>
    <xf numFmtId="2" fontId="0" fillId="13" borderId="77" xfId="0" applyNumberFormat="1" applyFill="1" applyBorder="1" applyAlignment="1">
      <alignment horizontal="center"/>
    </xf>
    <xf numFmtId="0" fontId="1" fillId="0" borderId="11" xfId="0" applyFont="1" applyBorder="1"/>
    <xf numFmtId="0" fontId="0" fillId="0" borderId="11" xfId="0" applyBorder="1"/>
    <xf numFmtId="0" fontId="0" fillId="0" borderId="12" xfId="0" applyBorder="1" applyAlignment="1"/>
    <xf numFmtId="0" fontId="36" fillId="0" borderId="0" xfId="0" applyFont="1"/>
    <xf numFmtId="0" fontId="0" fillId="0" borderId="0" xfId="0" applyAlignment="1">
      <alignment horizontal="center"/>
    </xf>
    <xf numFmtId="0" fontId="0" fillId="0" borderId="31" xfId="0" applyBorder="1" applyAlignment="1">
      <alignment horizontal="center"/>
    </xf>
    <xf numFmtId="9" fontId="0" fillId="13" borderId="31" xfId="5" applyFont="1" applyFill="1" applyBorder="1"/>
    <xf numFmtId="0" fontId="1" fillId="0" borderId="105" xfId="0" applyFont="1" applyBorder="1" applyAlignment="1">
      <alignment horizontal="center"/>
    </xf>
    <xf numFmtId="0" fontId="0" fillId="0" borderId="0" xfId="0" applyAlignment="1">
      <alignment horizontal="center"/>
    </xf>
    <xf numFmtId="0" fontId="1" fillId="0" borderId="0" xfId="0" applyFont="1" applyAlignment="1">
      <alignment horizontal="center"/>
    </xf>
    <xf numFmtId="0" fontId="0" fillId="0" borderId="34" xfId="0" applyBorder="1"/>
    <xf numFmtId="0" fontId="0" fillId="0" borderId="35" xfId="0" applyBorder="1"/>
    <xf numFmtId="0" fontId="0" fillId="0" borderId="36" xfId="0" applyBorder="1"/>
    <xf numFmtId="0" fontId="0" fillId="0" borderId="33" xfId="0" applyBorder="1"/>
    <xf numFmtId="0" fontId="0" fillId="0" borderId="63" xfId="0" applyBorder="1"/>
    <xf numFmtId="0" fontId="0" fillId="0" borderId="37" xfId="0" applyBorder="1"/>
    <xf numFmtId="0" fontId="0" fillId="0" borderId="38" xfId="0" applyBorder="1"/>
    <xf numFmtId="0" fontId="6" fillId="0" borderId="0" xfId="0" applyFont="1"/>
    <xf numFmtId="0" fontId="6" fillId="0" borderId="0" xfId="0" applyFont="1" applyAlignment="1">
      <alignment horizontal="left"/>
    </xf>
    <xf numFmtId="0" fontId="0" fillId="0" borderId="0" xfId="0" applyAlignment="1">
      <alignment vertical="top"/>
    </xf>
    <xf numFmtId="0" fontId="0" fillId="0" borderId="0" xfId="0" applyBorder="1" applyAlignment="1">
      <alignment horizontal="center" wrapText="1"/>
    </xf>
    <xf numFmtId="0" fontId="0" fillId="0" borderId="0" xfId="0" applyAlignment="1">
      <alignment horizontal="center" wrapText="1"/>
    </xf>
    <xf numFmtId="6" fontId="0" fillId="0" borderId="0" xfId="0" applyNumberFormat="1" applyAlignment="1">
      <alignment horizontal="center"/>
    </xf>
    <xf numFmtId="0" fontId="12" fillId="0" borderId="1" xfId="0" applyFont="1" applyBorder="1" applyAlignment="1">
      <alignment horizontal="center" vertical="center" wrapText="1"/>
    </xf>
    <xf numFmtId="0" fontId="55" fillId="0" borderId="0" xfId="0" applyFont="1" applyBorder="1" applyProtection="1"/>
    <xf numFmtId="0" fontId="56" fillId="0" borderId="0" xfId="0" applyFont="1" applyFill="1" applyBorder="1" applyProtection="1"/>
    <xf numFmtId="0" fontId="56" fillId="0" borderId="0" xfId="0" applyFont="1" applyBorder="1" applyProtection="1"/>
    <xf numFmtId="0" fontId="16" fillId="0" borderId="0" xfId="0" applyFont="1" applyFill="1" applyBorder="1"/>
    <xf numFmtId="0" fontId="16" fillId="6" borderId="31" xfId="0" applyFont="1" applyFill="1" applyBorder="1" applyAlignment="1">
      <alignment horizontal="center"/>
    </xf>
    <xf numFmtId="0" fontId="12" fillId="0" borderId="89" xfId="0" applyFont="1" applyBorder="1" applyAlignment="1">
      <alignment horizontal="center" vertical="center" wrapText="1"/>
    </xf>
    <xf numFmtId="0" fontId="0" fillId="0" borderId="0" xfId="0" applyAlignment="1">
      <alignment horizontal="center"/>
    </xf>
    <xf numFmtId="0" fontId="0" fillId="14" borderId="31" xfId="0" applyFill="1" applyBorder="1"/>
    <xf numFmtId="2" fontId="19" fillId="14" borderId="31" xfId="0" applyNumberFormat="1" applyFont="1" applyFill="1" applyBorder="1" applyAlignment="1" applyProtection="1">
      <alignment horizontal="center"/>
    </xf>
    <xf numFmtId="167" fontId="19" fillId="14" borderId="31" xfId="0" applyNumberFormat="1" applyFont="1" applyFill="1" applyBorder="1" applyAlignment="1" applyProtection="1">
      <alignment horizontal="center"/>
    </xf>
    <xf numFmtId="167" fontId="19" fillId="14" borderId="10" xfId="0" applyNumberFormat="1" applyFont="1" applyFill="1" applyBorder="1" applyAlignment="1" applyProtection="1">
      <alignment horizontal="center"/>
    </xf>
    <xf numFmtId="9" fontId="0" fillId="14" borderId="39" xfId="0" applyNumberFormat="1" applyFill="1" applyBorder="1"/>
    <xf numFmtId="1" fontId="16" fillId="14" borderId="31" xfId="0" applyNumberFormat="1" applyFont="1" applyFill="1" applyBorder="1" applyAlignment="1" applyProtection="1">
      <alignment horizontal="center"/>
    </xf>
    <xf numFmtId="0" fontId="17" fillId="0" borderId="0" xfId="0" applyFont="1"/>
    <xf numFmtId="0" fontId="58" fillId="0" borderId="0" xfId="0" applyFont="1"/>
    <xf numFmtId="0" fontId="16" fillId="11" borderId="31" xfId="0" applyFont="1" applyFill="1" applyBorder="1" applyAlignment="1" applyProtection="1">
      <alignment horizontal="center"/>
      <protection locked="0"/>
    </xf>
    <xf numFmtId="0" fontId="16" fillId="0" borderId="0" xfId="0" applyFont="1" applyFill="1" applyBorder="1" applyAlignment="1">
      <alignment horizontal="center"/>
    </xf>
    <xf numFmtId="0" fontId="1" fillId="0" borderId="69" xfId="0" applyFont="1" applyBorder="1" applyAlignment="1">
      <alignment horizontal="center"/>
    </xf>
    <xf numFmtId="0" fontId="1" fillId="0" borderId="70" xfId="0" applyFont="1" applyBorder="1" applyAlignment="1">
      <alignment horizontal="center"/>
    </xf>
    <xf numFmtId="0" fontId="1" fillId="0" borderId="109" xfId="0" applyFont="1" applyBorder="1" applyAlignment="1">
      <alignment horizontal="center"/>
    </xf>
    <xf numFmtId="0" fontId="16" fillId="15" borderId="31" xfId="0" applyFont="1" applyFill="1" applyBorder="1"/>
    <xf numFmtId="0" fontId="0" fillId="15" borderId="31" xfId="0" applyFill="1" applyBorder="1" applyAlignment="1">
      <alignment wrapText="1"/>
    </xf>
    <xf numFmtId="0" fontId="0" fillId="15" borderId="31" xfId="0" applyFill="1" applyBorder="1" applyAlignment="1">
      <alignment horizontal="center"/>
    </xf>
    <xf numFmtId="44" fontId="0" fillId="15" borderId="31" xfId="3" applyFont="1" applyFill="1" applyBorder="1" applyAlignment="1">
      <alignment horizontal="center"/>
    </xf>
    <xf numFmtId="167" fontId="16" fillId="11" borderId="31" xfId="0" applyNumberFormat="1" applyFont="1" applyFill="1" applyBorder="1" applyAlignment="1" applyProtection="1">
      <alignment horizontal="center"/>
      <protection locked="0"/>
    </xf>
    <xf numFmtId="5" fontId="0" fillId="13" borderId="85" xfId="3" applyNumberFormat="1" applyFont="1" applyFill="1" applyBorder="1" applyAlignment="1">
      <alignment horizontal="center"/>
    </xf>
    <xf numFmtId="44" fontId="16" fillId="11" borderId="31" xfId="3" applyFont="1" applyFill="1" applyBorder="1" applyAlignment="1" applyProtection="1">
      <alignment horizontal="center"/>
      <protection locked="0"/>
    </xf>
    <xf numFmtId="0" fontId="0" fillId="0" borderId="0" xfId="0" applyAlignment="1">
      <alignment horizontal="center"/>
    </xf>
    <xf numFmtId="0" fontId="0" fillId="0" borderId="3" xfId="0" applyBorder="1" applyAlignment="1">
      <alignment horizontal="center"/>
    </xf>
    <xf numFmtId="0" fontId="0" fillId="0" borderId="25" xfId="0" applyBorder="1" applyAlignment="1">
      <alignment horizontal="center"/>
    </xf>
    <xf numFmtId="0" fontId="1" fillId="0" borderId="98" xfId="0" applyFont="1" applyBorder="1"/>
    <xf numFmtId="0" fontId="0" fillId="0" borderId="50" xfId="0" applyBorder="1"/>
    <xf numFmtId="0" fontId="0" fillId="0" borderId="25" xfId="0" applyBorder="1"/>
    <xf numFmtId="0" fontId="0" fillId="0" borderId="7" xfId="0" applyBorder="1"/>
    <xf numFmtId="0" fontId="1" fillId="0" borderId="0" xfId="0" applyFont="1" applyBorder="1" applyAlignment="1">
      <alignment horizontal="left"/>
    </xf>
    <xf numFmtId="0" fontId="0" fillId="0" borderId="13" xfId="0" applyBorder="1"/>
    <xf numFmtId="0" fontId="0" fillId="0" borderId="7" xfId="0" applyBorder="1" applyAlignment="1">
      <alignment horizontal="right"/>
    </xf>
    <xf numFmtId="0" fontId="0" fillId="0" borderId="24" xfId="0" applyBorder="1"/>
    <xf numFmtId="0" fontId="1" fillId="0" borderId="7" xfId="0" applyFont="1" applyBorder="1"/>
    <xf numFmtId="0" fontId="1" fillId="16" borderId="22" xfId="0" applyFont="1" applyFill="1" applyBorder="1"/>
    <xf numFmtId="0" fontId="0" fillId="16" borderId="23" xfId="0" applyFill="1" applyBorder="1"/>
    <xf numFmtId="0" fontId="1" fillId="17" borderId="22" xfId="0" applyFont="1" applyFill="1" applyBorder="1"/>
    <xf numFmtId="0" fontId="0" fillId="17" borderId="23" xfId="0" applyFill="1" applyBorder="1"/>
    <xf numFmtId="0" fontId="1" fillId="0" borderId="34" xfId="0" applyFont="1" applyBorder="1"/>
    <xf numFmtId="167" fontId="0" fillId="0" borderId="0" xfId="0" applyNumberFormat="1"/>
    <xf numFmtId="0" fontId="0" fillId="0" borderId="0" xfId="0" applyAlignment="1"/>
    <xf numFmtId="0" fontId="0" fillId="0" borderId="2" xfId="0" applyBorder="1"/>
    <xf numFmtId="0" fontId="16" fillId="0" borderId="0" xfId="0" quotePrefix="1" applyFont="1" applyFill="1" applyBorder="1" applyAlignment="1" applyProtection="1">
      <alignment horizontal="center"/>
    </xf>
    <xf numFmtId="1" fontId="16" fillId="10" borderId="99" xfId="0" quotePrefix="1" applyNumberFormat="1" applyFont="1" applyFill="1" applyBorder="1" applyAlignment="1" applyProtection="1">
      <alignment horizontal="center"/>
    </xf>
    <xf numFmtId="0" fontId="0" fillId="0" borderId="6" xfId="0" applyBorder="1"/>
    <xf numFmtId="1" fontId="16" fillId="10" borderId="75" xfId="0" quotePrefix="1" applyNumberFormat="1" applyFont="1" applyFill="1" applyBorder="1" applyAlignment="1" applyProtection="1">
      <alignment horizontal="center"/>
    </xf>
    <xf numFmtId="1" fontId="1" fillId="0" borderId="68" xfId="0" applyNumberFormat="1" applyFont="1" applyBorder="1" applyAlignment="1">
      <alignment horizontal="center"/>
    </xf>
    <xf numFmtId="0" fontId="1" fillId="0" borderId="26" xfId="0" applyFont="1" applyBorder="1" applyAlignment="1">
      <alignment horizontal="left"/>
    </xf>
    <xf numFmtId="169" fontId="0" fillId="0" borderId="0" xfId="3" applyNumberFormat="1" applyFont="1" applyFill="1" applyBorder="1" applyAlignment="1">
      <alignment horizontal="center"/>
    </xf>
    <xf numFmtId="1" fontId="0" fillId="0" borderId="0" xfId="0" applyNumberFormat="1" applyFill="1" applyBorder="1" applyAlignment="1">
      <alignment horizontal="center"/>
    </xf>
    <xf numFmtId="0" fontId="1" fillId="0" borderId="40" xfId="0" applyFont="1" applyBorder="1"/>
    <xf numFmtId="0" fontId="1" fillId="0" borderId="0" xfId="0" applyFont="1" applyAlignment="1">
      <alignment horizontal="center"/>
    </xf>
    <xf numFmtId="0" fontId="1" fillId="0" borderId="0" xfId="0" applyFont="1" applyBorder="1" applyAlignment="1">
      <alignment horizontal="center" vertical="center" wrapText="1"/>
    </xf>
    <xf numFmtId="169" fontId="16" fillId="11" borderId="70" xfId="3" applyNumberFormat="1" applyFont="1" applyFill="1" applyBorder="1" applyAlignment="1" applyProtection="1">
      <alignment horizontal="center"/>
      <protection locked="0"/>
    </xf>
    <xf numFmtId="169" fontId="16" fillId="11" borderId="31" xfId="3" applyNumberFormat="1" applyFont="1" applyFill="1" applyBorder="1" applyAlignment="1" applyProtection="1">
      <alignment horizontal="center"/>
      <protection locked="0"/>
    </xf>
    <xf numFmtId="169" fontId="16" fillId="11" borderId="39" xfId="3" applyNumberFormat="1" applyFont="1" applyFill="1" applyBorder="1" applyAlignment="1" applyProtection="1">
      <alignment horizontal="center"/>
      <protection locked="0"/>
    </xf>
    <xf numFmtId="0" fontId="1" fillId="17" borderId="26" xfId="0" applyFont="1" applyFill="1" applyBorder="1"/>
    <xf numFmtId="0" fontId="0" fillId="17" borderId="5" xfId="0" applyFill="1" applyBorder="1"/>
    <xf numFmtId="0" fontId="0" fillId="17" borderId="6" xfId="0" applyFill="1" applyBorder="1"/>
    <xf numFmtId="0" fontId="1" fillId="16" borderId="26" xfId="0" applyFont="1" applyFill="1" applyBorder="1"/>
    <xf numFmtId="0" fontId="0" fillId="16" borderId="5" xfId="0" applyFill="1" applyBorder="1"/>
    <xf numFmtId="0" fontId="0" fillId="16" borderId="6" xfId="0" applyFill="1" applyBorder="1"/>
    <xf numFmtId="0" fontId="16" fillId="11" borderId="31" xfId="0" applyFont="1" applyFill="1" applyBorder="1" applyAlignment="1" applyProtection="1">
      <alignment horizontal="center"/>
      <protection locked="0"/>
    </xf>
    <xf numFmtId="44" fontId="0" fillId="0" borderId="33" xfId="3" applyFont="1" applyFill="1" applyBorder="1" applyAlignment="1">
      <alignment horizontal="center"/>
    </xf>
    <xf numFmtId="44" fontId="0" fillId="0" borderId="0" xfId="3" applyFont="1" applyFill="1" applyBorder="1" applyAlignment="1">
      <alignment horizontal="center"/>
    </xf>
    <xf numFmtId="0" fontId="0" fillId="15" borderId="28" xfId="0" applyFill="1" applyBorder="1" applyAlignment="1">
      <alignment wrapText="1"/>
    </xf>
    <xf numFmtId="0" fontId="0" fillId="15" borderId="28" xfId="0" applyFill="1" applyBorder="1" applyAlignment="1">
      <alignment horizontal="center"/>
    </xf>
    <xf numFmtId="44" fontId="0" fillId="15" borderId="28" xfId="3" applyFont="1" applyFill="1" applyBorder="1" applyAlignment="1">
      <alignment horizontal="center"/>
    </xf>
    <xf numFmtId="0" fontId="0" fillId="15" borderId="115" xfId="0" applyFill="1" applyBorder="1" applyAlignment="1">
      <alignment wrapText="1"/>
    </xf>
    <xf numFmtId="0" fontId="0" fillId="15" borderId="115" xfId="0" applyFill="1" applyBorder="1" applyAlignment="1">
      <alignment horizontal="center"/>
    </xf>
    <xf numFmtId="44" fontId="0" fillId="15" borderId="115" xfId="3" applyFont="1" applyFill="1" applyBorder="1" applyAlignment="1">
      <alignment horizontal="center"/>
    </xf>
    <xf numFmtId="0" fontId="61" fillId="0" borderId="0" xfId="6"/>
    <xf numFmtId="3" fontId="0" fillId="13" borderId="29" xfId="0" applyNumberFormat="1" applyFill="1" applyBorder="1" applyAlignment="1">
      <alignment horizontal="center"/>
    </xf>
    <xf numFmtId="3" fontId="0" fillId="13" borderId="77" xfId="0" applyNumberFormat="1" applyFill="1" applyBorder="1" applyAlignment="1">
      <alignment horizontal="center"/>
    </xf>
    <xf numFmtId="3" fontId="0" fillId="13" borderId="75" xfId="0" applyNumberFormat="1" applyFill="1" applyBorder="1" applyAlignment="1">
      <alignment horizontal="center"/>
    </xf>
    <xf numFmtId="3" fontId="0" fillId="13" borderId="80" xfId="0" applyNumberFormat="1" applyFill="1" applyBorder="1" applyAlignment="1">
      <alignment horizontal="center"/>
    </xf>
    <xf numFmtId="3" fontId="0" fillId="13" borderId="85" xfId="0" applyNumberFormat="1" applyFill="1" applyBorder="1" applyAlignment="1">
      <alignment horizontal="center"/>
    </xf>
    <xf numFmtId="3" fontId="0" fillId="13" borderId="84" xfId="0" applyNumberFormat="1" applyFill="1" applyBorder="1" applyAlignment="1">
      <alignment horizontal="center"/>
    </xf>
    <xf numFmtId="3" fontId="0" fillId="13" borderId="81" xfId="0" applyNumberFormat="1" applyFill="1" applyBorder="1" applyAlignment="1">
      <alignment horizontal="center"/>
    </xf>
    <xf numFmtId="3" fontId="0" fillId="13" borderId="86" xfId="0" applyNumberFormat="1" applyFill="1" applyBorder="1" applyAlignment="1">
      <alignment horizontal="center"/>
    </xf>
    <xf numFmtId="3" fontId="0" fillId="13" borderId="82" xfId="0" applyNumberFormat="1" applyFill="1" applyBorder="1" applyAlignment="1">
      <alignment horizontal="center"/>
    </xf>
    <xf numFmtId="1" fontId="19" fillId="14" borderId="31" xfId="0" applyNumberFormat="1" applyFont="1" applyFill="1" applyBorder="1" applyAlignment="1" applyProtection="1">
      <alignment horizontal="center"/>
    </xf>
    <xf numFmtId="3" fontId="16" fillId="11" borderId="31" xfId="0" applyNumberFormat="1" applyFont="1" applyFill="1" applyBorder="1" applyAlignment="1" applyProtection="1">
      <alignment horizontal="center"/>
      <protection locked="0"/>
    </xf>
    <xf numFmtId="3" fontId="16" fillId="9" borderId="31" xfId="0" applyNumberFormat="1" applyFont="1" applyFill="1" applyBorder="1" applyAlignment="1" applyProtection="1">
      <protection locked="0"/>
    </xf>
    <xf numFmtId="3" fontId="0" fillId="13" borderId="107" xfId="0" applyNumberFormat="1" applyFill="1" applyBorder="1" applyAlignment="1">
      <alignment horizontal="center"/>
    </xf>
    <xf numFmtId="3" fontId="0" fillId="13" borderId="9" xfId="0" applyNumberFormat="1" applyFill="1" applyBorder="1" applyAlignment="1">
      <alignment horizontal="center"/>
    </xf>
    <xf numFmtId="3" fontId="0" fillId="13" borderId="108" xfId="0" applyNumberFormat="1" applyFill="1" applyBorder="1" applyAlignment="1">
      <alignment horizontal="center"/>
    </xf>
    <xf numFmtId="3" fontId="0" fillId="13" borderId="36" xfId="0" applyNumberFormat="1" applyFill="1" applyBorder="1" applyAlignment="1">
      <alignment horizontal="center"/>
    </xf>
    <xf numFmtId="3" fontId="0" fillId="13" borderId="103" xfId="0" applyNumberFormat="1" applyFill="1" applyBorder="1" applyAlignment="1">
      <alignment horizontal="center"/>
    </xf>
    <xf numFmtId="3" fontId="0" fillId="13" borderId="94" xfId="0" applyNumberFormat="1" applyFill="1" applyBorder="1" applyAlignment="1">
      <alignment horizontal="center"/>
    </xf>
    <xf numFmtId="3" fontId="0" fillId="13" borderId="104" xfId="0" applyNumberFormat="1" applyFill="1" applyBorder="1" applyAlignment="1">
      <alignment horizontal="center"/>
    </xf>
    <xf numFmtId="0" fontId="0" fillId="12" borderId="31" xfId="0" applyFill="1" applyBorder="1" applyProtection="1">
      <protection locked="0"/>
    </xf>
    <xf numFmtId="170" fontId="16" fillId="11" borderId="31" xfId="0" applyNumberFormat="1" applyFont="1" applyFill="1" applyBorder="1" applyAlignment="1" applyProtection="1">
      <alignment horizontal="center"/>
    </xf>
    <xf numFmtId="170" fontId="0" fillId="0" borderId="0" xfId="0" applyNumberFormat="1"/>
    <xf numFmtId="170" fontId="0" fillId="13" borderId="1" xfId="0" applyNumberFormat="1" applyFill="1" applyBorder="1"/>
    <xf numFmtId="170" fontId="0" fillId="13" borderId="110" xfId="0" applyNumberFormat="1" applyFill="1" applyBorder="1"/>
    <xf numFmtId="170" fontId="0" fillId="13" borderId="100" xfId="0" applyNumberFormat="1" applyFill="1" applyBorder="1"/>
    <xf numFmtId="3" fontId="16" fillId="11" borderId="52" xfId="0" applyNumberFormat="1" applyFont="1" applyFill="1" applyBorder="1" applyAlignment="1" applyProtection="1">
      <alignment horizontal="center"/>
      <protection locked="0"/>
    </xf>
    <xf numFmtId="3" fontId="16" fillId="11" borderId="57" xfId="0" applyNumberFormat="1" applyFont="1" applyFill="1" applyBorder="1" applyAlignment="1" applyProtection="1">
      <alignment horizontal="center"/>
      <protection locked="0"/>
    </xf>
    <xf numFmtId="3" fontId="16" fillId="11" borderId="77" xfId="0" applyNumberFormat="1" applyFont="1" applyFill="1" applyBorder="1" applyAlignment="1" applyProtection="1">
      <alignment horizontal="center"/>
      <protection locked="0"/>
    </xf>
    <xf numFmtId="3" fontId="0" fillId="11" borderId="77" xfId="0" applyNumberFormat="1" applyFill="1" applyBorder="1" applyAlignment="1">
      <alignment horizontal="center"/>
    </xf>
    <xf numFmtId="1" fontId="16" fillId="13" borderId="31" xfId="0" quotePrefix="1" applyNumberFormat="1" applyFont="1" applyFill="1" applyBorder="1" applyAlignment="1" applyProtection="1">
      <alignment horizontal="center"/>
    </xf>
    <xf numFmtId="0" fontId="36" fillId="0" borderId="0" xfId="0" applyFont="1" applyBorder="1"/>
    <xf numFmtId="0" fontId="36" fillId="0" borderId="11" xfId="0" applyFont="1" applyBorder="1"/>
    <xf numFmtId="0" fontId="0" fillId="0" borderId="0" xfId="0" applyAlignment="1">
      <alignment horizontal="center"/>
    </xf>
    <xf numFmtId="0" fontId="1" fillId="0" borderId="0" xfId="0" applyFont="1" applyAlignment="1">
      <alignment horizontal="center"/>
    </xf>
    <xf numFmtId="1" fontId="0" fillId="0" borderId="116" xfId="0" applyNumberFormat="1" applyBorder="1" applyAlignment="1">
      <alignment horizontal="center"/>
    </xf>
    <xf numFmtId="167" fontId="0" fillId="0" borderId="117" xfId="0" applyNumberFormat="1" applyBorder="1" applyAlignment="1">
      <alignment horizontal="center"/>
    </xf>
    <xf numFmtId="1" fontId="0" fillId="0" borderId="118" xfId="0" applyNumberFormat="1" applyBorder="1" applyAlignment="1">
      <alignment horizontal="center"/>
    </xf>
    <xf numFmtId="2" fontId="0" fillId="0" borderId="119" xfId="0" applyNumberFormat="1" applyBorder="1" applyAlignment="1">
      <alignment horizontal="center"/>
    </xf>
    <xf numFmtId="1" fontId="0" fillId="0" borderId="38" xfId="0" applyNumberFormat="1" applyBorder="1" applyAlignment="1">
      <alignment horizontal="center"/>
    </xf>
    <xf numFmtId="3" fontId="0" fillId="0" borderId="9" xfId="0" applyNumberFormat="1" applyBorder="1" applyAlignment="1">
      <alignment horizontal="center"/>
    </xf>
    <xf numFmtId="0" fontId="0" fillId="0" borderId="98" xfId="0" applyBorder="1" applyAlignment="1">
      <alignment horizontal="center"/>
    </xf>
    <xf numFmtId="0" fontId="0" fillId="0" borderId="123" xfId="0" applyBorder="1" applyAlignment="1">
      <alignment horizontal="center"/>
    </xf>
    <xf numFmtId="2" fontId="1" fillId="0" borderId="71" xfId="0" applyNumberFormat="1" applyFont="1" applyBorder="1" applyAlignment="1">
      <alignment horizontal="center"/>
    </xf>
    <xf numFmtId="1" fontId="0" fillId="0" borderId="90" xfId="0" applyNumberFormat="1" applyBorder="1" applyAlignment="1">
      <alignment horizontal="center"/>
    </xf>
    <xf numFmtId="2" fontId="1" fillId="0" borderId="8" xfId="0" applyNumberFormat="1" applyFont="1" applyBorder="1" applyAlignment="1">
      <alignment horizontal="center"/>
    </xf>
    <xf numFmtId="1" fontId="0" fillId="0" borderId="75" xfId="0" applyNumberFormat="1" applyBorder="1" applyAlignment="1">
      <alignment horizontal="center"/>
    </xf>
    <xf numFmtId="2" fontId="1" fillId="0" borderId="72" xfId="0" applyNumberFormat="1" applyFont="1" applyBorder="1" applyAlignment="1">
      <alignment horizontal="center"/>
    </xf>
    <xf numFmtId="1" fontId="0" fillId="0" borderId="124" xfId="0" applyNumberFormat="1" applyBorder="1" applyAlignment="1">
      <alignment horizontal="center"/>
    </xf>
    <xf numFmtId="167" fontId="0" fillId="0" borderId="125" xfId="0" applyNumberFormat="1" applyBorder="1" applyAlignment="1">
      <alignment horizontal="center"/>
    </xf>
    <xf numFmtId="3" fontId="0" fillId="0" borderId="54" xfId="0" applyNumberFormat="1" applyBorder="1" applyAlignment="1">
      <alignment horizontal="center"/>
    </xf>
    <xf numFmtId="1" fontId="0" fillId="0" borderId="76" xfId="0" applyNumberFormat="1" applyBorder="1" applyAlignment="1">
      <alignment horizontal="center"/>
    </xf>
    <xf numFmtId="0" fontId="1" fillId="0" borderId="74" xfId="0" applyFont="1" applyBorder="1" applyAlignment="1">
      <alignment horizontal="center"/>
    </xf>
    <xf numFmtId="44" fontId="0" fillId="15" borderId="10" xfId="3" applyFont="1" applyFill="1" applyBorder="1" applyAlignment="1">
      <alignment horizontal="center"/>
    </xf>
    <xf numFmtId="44" fontId="0" fillId="15" borderId="120" xfId="3" applyFont="1" applyFill="1" applyBorder="1" applyAlignment="1">
      <alignment horizontal="center"/>
    </xf>
    <xf numFmtId="44" fontId="0" fillId="15" borderId="37" xfId="3" applyFont="1" applyFill="1" applyBorder="1" applyAlignment="1">
      <alignment horizontal="center"/>
    </xf>
    <xf numFmtId="0" fontId="1" fillId="0" borderId="0" xfId="0" applyFont="1" applyFill="1" applyBorder="1" applyAlignment="1">
      <alignment horizontal="center"/>
    </xf>
    <xf numFmtId="0" fontId="1" fillId="0" borderId="33" xfId="0" applyFont="1" applyFill="1" applyBorder="1" applyAlignment="1">
      <alignment horizontal="center"/>
    </xf>
    <xf numFmtId="171" fontId="63" fillId="0" borderId="0" xfId="0" applyNumberFormat="1" applyFont="1"/>
    <xf numFmtId="14" fontId="0" fillId="0" borderId="0" xfId="0" applyNumberFormat="1"/>
    <xf numFmtId="171" fontId="64" fillId="0" borderId="0" xfId="0" applyNumberFormat="1" applyFont="1" applyAlignment="1">
      <alignment horizontal="center"/>
    </xf>
    <xf numFmtId="0" fontId="0" fillId="0" borderId="0" xfId="0" applyAlignment="1">
      <alignment wrapText="1"/>
    </xf>
    <xf numFmtId="0" fontId="1" fillId="0" borderId="0" xfId="0" applyFont="1" applyAlignment="1">
      <alignment wrapText="1"/>
    </xf>
    <xf numFmtId="171" fontId="64" fillId="0" borderId="0" xfId="0" applyNumberFormat="1" applyFont="1"/>
    <xf numFmtId="0" fontId="0" fillId="0" borderId="0" xfId="0" applyBorder="1" applyAlignment="1">
      <alignment wrapText="1"/>
    </xf>
    <xf numFmtId="171" fontId="63" fillId="0" borderId="0" xfId="0" applyNumberFormat="1" applyFont="1" applyBorder="1"/>
    <xf numFmtId="171" fontId="64" fillId="0" borderId="0" xfId="0" applyNumberFormat="1" applyFont="1" applyBorder="1"/>
    <xf numFmtId="0" fontId="0" fillId="0" borderId="128" xfId="0" applyBorder="1"/>
    <xf numFmtId="0" fontId="0" fillId="0" borderId="128" xfId="0" applyBorder="1" applyAlignment="1">
      <alignment wrapText="1"/>
    </xf>
    <xf numFmtId="171" fontId="63" fillId="0" borderId="128" xfId="0" applyNumberFormat="1" applyFont="1" applyBorder="1"/>
    <xf numFmtId="0" fontId="0" fillId="0" borderId="0" xfId="0" applyFill="1" applyBorder="1" applyAlignment="1">
      <alignment wrapText="1"/>
    </xf>
    <xf numFmtId="0" fontId="16" fillId="14" borderId="31" xfId="0" quotePrefix="1" applyFont="1" applyFill="1" applyBorder="1" applyAlignment="1" applyProtection="1">
      <alignment horizontal="center"/>
    </xf>
    <xf numFmtId="0" fontId="41" fillId="0" borderId="1" xfId="0" applyFont="1" applyBorder="1" applyAlignment="1">
      <alignment horizontal="center"/>
    </xf>
    <xf numFmtId="0" fontId="0" fillId="15" borderId="39" xfId="0" applyFill="1" applyBorder="1" applyAlignment="1">
      <alignment horizontal="center"/>
    </xf>
    <xf numFmtId="44" fontId="0" fillId="15" borderId="39" xfId="3" applyFont="1" applyFill="1" applyBorder="1" applyAlignment="1">
      <alignment horizontal="center"/>
    </xf>
    <xf numFmtId="44" fontId="0" fillId="15" borderId="34" xfId="3" applyFont="1" applyFill="1" applyBorder="1" applyAlignment="1">
      <alignment horizontal="center"/>
    </xf>
    <xf numFmtId="0" fontId="0" fillId="15" borderId="129" xfId="0" applyFill="1" applyBorder="1" applyAlignment="1">
      <alignment wrapText="1"/>
    </xf>
    <xf numFmtId="0" fontId="0" fillId="15" borderId="130" xfId="0" applyFill="1" applyBorder="1" applyAlignment="1">
      <alignment wrapText="1"/>
    </xf>
    <xf numFmtId="0" fontId="0" fillId="15" borderId="130" xfId="0" applyFill="1" applyBorder="1" applyAlignment="1">
      <alignment horizontal="center"/>
    </xf>
    <xf numFmtId="44" fontId="0" fillId="15" borderId="130" xfId="3" applyFont="1" applyFill="1" applyBorder="1" applyAlignment="1">
      <alignment horizontal="center"/>
    </xf>
    <xf numFmtId="0" fontId="0" fillId="0" borderId="31" xfId="0" applyBorder="1"/>
    <xf numFmtId="0" fontId="0" fillId="0" borderId="31" xfId="0" applyBorder="1" applyAlignment="1">
      <alignment wrapText="1"/>
    </xf>
    <xf numFmtId="0" fontId="0" fillId="0" borderId="31" xfId="0" applyFill="1" applyBorder="1" applyAlignment="1">
      <alignment wrapText="1"/>
    </xf>
    <xf numFmtId="0" fontId="1" fillId="0" borderId="31" xfId="0" applyFont="1" applyBorder="1" applyAlignment="1">
      <alignment wrapText="1"/>
    </xf>
    <xf numFmtId="0" fontId="0" fillId="0" borderId="30" xfId="0" applyBorder="1"/>
    <xf numFmtId="0" fontId="0" fillId="18" borderId="31" xfId="0" applyFill="1" applyBorder="1"/>
    <xf numFmtId="0" fontId="0" fillId="0" borderId="11" xfId="0" applyBorder="1" applyAlignment="1">
      <alignment wrapText="1"/>
    </xf>
    <xf numFmtId="0" fontId="0" fillId="0" borderId="30" xfId="0" applyBorder="1" applyAlignment="1">
      <alignment wrapText="1"/>
    </xf>
    <xf numFmtId="0" fontId="0" fillId="18" borderId="39" xfId="0" applyFill="1" applyBorder="1"/>
    <xf numFmtId="0" fontId="0" fillId="0" borderId="31" xfId="0" applyFill="1" applyBorder="1"/>
    <xf numFmtId="0" fontId="0" fillId="0" borderId="30" xfId="0" applyFill="1" applyBorder="1" applyAlignment="1">
      <alignment wrapText="1"/>
    </xf>
    <xf numFmtId="0" fontId="1" fillId="0" borderId="7" xfId="0" applyFont="1" applyBorder="1" applyAlignment="1">
      <alignment horizontal="center"/>
    </xf>
    <xf numFmtId="0" fontId="1" fillId="0" borderId="0" xfId="0" applyFont="1" applyBorder="1" applyAlignment="1">
      <alignment horizontal="center"/>
    </xf>
    <xf numFmtId="0" fontId="1" fillId="0" borderId="13" xfId="0" applyFont="1" applyBorder="1" applyAlignment="1">
      <alignment horizontal="center"/>
    </xf>
    <xf numFmtId="0" fontId="1" fillId="0" borderId="22" xfId="0" applyFont="1" applyBorder="1" applyAlignment="1">
      <alignment horizontal="center"/>
    </xf>
    <xf numFmtId="0" fontId="1" fillId="0" borderId="23" xfId="0" applyFont="1" applyBorder="1" applyAlignment="1">
      <alignment horizontal="center"/>
    </xf>
    <xf numFmtId="0" fontId="1" fillId="0" borderId="24" xfId="0" applyFont="1" applyBorder="1" applyAlignment="1">
      <alignment horizontal="center"/>
    </xf>
    <xf numFmtId="0" fontId="1" fillId="0" borderId="0" xfId="0" applyFont="1" applyAlignment="1">
      <alignment horizontal="center"/>
    </xf>
    <xf numFmtId="0" fontId="0" fillId="0" borderId="0" xfId="0" applyAlignment="1">
      <alignment horizontal="center"/>
    </xf>
    <xf numFmtId="0" fontId="0" fillId="0" borderId="2" xfId="0" applyBorder="1" applyAlignment="1">
      <alignment horizontal="center"/>
    </xf>
    <xf numFmtId="0" fontId="0" fillId="0" borderId="3" xfId="0" applyBorder="1" applyAlignment="1">
      <alignment horizontal="center"/>
    </xf>
    <xf numFmtId="0" fontId="0" fillId="0" borderId="25" xfId="0" applyBorder="1" applyAlignment="1">
      <alignment horizontal="center"/>
    </xf>
    <xf numFmtId="0" fontId="0" fillId="0" borderId="7" xfId="0" applyBorder="1" applyAlignment="1">
      <alignment horizontal="center"/>
    </xf>
    <xf numFmtId="0" fontId="0" fillId="0" borderId="0" xfId="0" applyBorder="1" applyAlignment="1">
      <alignment horizontal="center"/>
    </xf>
    <xf numFmtId="0" fontId="0" fillId="0" borderId="13" xfId="0" applyBorder="1" applyAlignment="1">
      <alignment horizontal="center"/>
    </xf>
    <xf numFmtId="2" fontId="16" fillId="14" borderId="8" xfId="0" applyNumberFormat="1" applyFont="1" applyFill="1" applyBorder="1" applyAlignment="1" applyProtection="1">
      <alignment horizontal="center"/>
    </xf>
    <xf numFmtId="2" fontId="16" fillId="14" borderId="9" xfId="0" applyNumberFormat="1" applyFont="1" applyFill="1" applyBorder="1" applyAlignment="1" applyProtection="1">
      <alignment horizontal="center"/>
    </xf>
    <xf numFmtId="2" fontId="16" fillId="14" borderId="72" xfId="0" applyNumberFormat="1" applyFont="1" applyFill="1" applyBorder="1" applyAlignment="1" applyProtection="1">
      <alignment horizontal="center"/>
    </xf>
    <xf numFmtId="2" fontId="16" fillId="14" borderId="54" xfId="0" applyNumberFormat="1" applyFont="1" applyFill="1" applyBorder="1" applyAlignment="1" applyProtection="1">
      <alignment horizontal="center"/>
    </xf>
    <xf numFmtId="0" fontId="0" fillId="0" borderId="26" xfId="0" applyBorder="1" applyAlignment="1">
      <alignment horizontal="center"/>
    </xf>
    <xf numFmtId="0" fontId="0" fillId="0" borderId="6" xfId="0" applyBorder="1" applyAlignment="1">
      <alignment horizontal="center"/>
    </xf>
    <xf numFmtId="0" fontId="16" fillId="10" borderId="8" xfId="0" applyFont="1" applyFill="1" applyBorder="1" applyAlignment="1" applyProtection="1">
      <alignment horizontal="center"/>
      <protection locked="0"/>
    </xf>
    <xf numFmtId="0" fontId="16" fillId="10" borderId="48" xfId="0" applyFont="1" applyFill="1" applyBorder="1" applyAlignment="1" applyProtection="1">
      <alignment horizontal="center"/>
      <protection locked="0"/>
    </xf>
    <xf numFmtId="0" fontId="16" fillId="10" borderId="72" xfId="0" applyFont="1" applyFill="1" applyBorder="1" applyAlignment="1" applyProtection="1">
      <alignment horizontal="center"/>
      <protection locked="0"/>
    </xf>
    <xf numFmtId="0" fontId="16" fillId="10" borderId="58" xfId="0" applyFont="1" applyFill="1" applyBorder="1" applyAlignment="1" applyProtection="1">
      <alignment horizontal="center"/>
      <protection locked="0"/>
    </xf>
    <xf numFmtId="2" fontId="16" fillId="14" borderId="71" xfId="0" applyNumberFormat="1" applyFont="1" applyFill="1" applyBorder="1" applyAlignment="1" applyProtection="1">
      <alignment horizontal="center"/>
    </xf>
    <xf numFmtId="2" fontId="16" fillId="14" borderId="38" xfId="0" applyNumberFormat="1" applyFont="1" applyFill="1" applyBorder="1" applyAlignment="1" applyProtection="1">
      <alignment horizontal="center"/>
    </xf>
    <xf numFmtId="3" fontId="0" fillId="13" borderId="55" xfId="0" applyNumberFormat="1" applyFill="1" applyBorder="1" applyAlignment="1">
      <alignment horizontal="center"/>
    </xf>
    <xf numFmtId="3" fontId="0" fillId="13" borderId="54" xfId="0" applyNumberFormat="1" applyFill="1" applyBorder="1" applyAlignment="1">
      <alignment horizontal="center"/>
    </xf>
    <xf numFmtId="167" fontId="0" fillId="13" borderId="55" xfId="0" applyNumberFormat="1" applyFill="1" applyBorder="1" applyAlignment="1">
      <alignment horizontal="center"/>
    </xf>
    <xf numFmtId="167" fontId="0" fillId="13" borderId="56" xfId="0" applyNumberFormat="1" applyFill="1" applyBorder="1" applyAlignment="1">
      <alignment horizontal="center"/>
    </xf>
    <xf numFmtId="167" fontId="0" fillId="13" borderId="58" xfId="0" applyNumberFormat="1" applyFill="1" applyBorder="1" applyAlignment="1">
      <alignment horizontal="center"/>
    </xf>
    <xf numFmtId="0" fontId="0" fillId="0" borderId="5" xfId="0" applyBorder="1" applyAlignment="1">
      <alignment horizontal="center"/>
    </xf>
    <xf numFmtId="0" fontId="0" fillId="12" borderId="49" xfId="0" applyFill="1" applyBorder="1" applyAlignment="1" applyProtection="1">
      <alignment horizontal="center"/>
      <protection locked="0"/>
    </xf>
    <xf numFmtId="0" fontId="0" fillId="12" borderId="50" xfId="0" applyFill="1" applyBorder="1" applyAlignment="1" applyProtection="1">
      <alignment horizontal="center"/>
      <protection locked="0"/>
    </xf>
    <xf numFmtId="0" fontId="0" fillId="12" borderId="51" xfId="0" applyFill="1" applyBorder="1" applyAlignment="1" applyProtection="1">
      <alignment horizontal="center"/>
      <protection locked="0"/>
    </xf>
    <xf numFmtId="0" fontId="0" fillId="12" borderId="10" xfId="0" applyFill="1" applyBorder="1" applyAlignment="1" applyProtection="1">
      <alignment horizontal="center"/>
      <protection locked="0"/>
    </xf>
    <xf numFmtId="0" fontId="0" fillId="12" borderId="30" xfId="0" applyFill="1" applyBorder="1" applyAlignment="1" applyProtection="1">
      <alignment horizontal="center"/>
      <protection locked="0"/>
    </xf>
    <xf numFmtId="0" fontId="0" fillId="12" borderId="9" xfId="0" applyFill="1" applyBorder="1" applyAlignment="1" applyProtection="1">
      <alignment horizontal="center"/>
      <protection locked="0"/>
    </xf>
    <xf numFmtId="3" fontId="0" fillId="13" borderId="10" xfId="0" applyNumberFormat="1" applyFill="1" applyBorder="1" applyAlignment="1">
      <alignment horizontal="center"/>
    </xf>
    <xf numFmtId="3" fontId="0" fillId="13" borderId="9" xfId="0" applyNumberFormat="1" applyFill="1" applyBorder="1" applyAlignment="1">
      <alignment horizontal="center"/>
    </xf>
    <xf numFmtId="167" fontId="0" fillId="13" borderId="10" xfId="0" applyNumberFormat="1" applyFill="1" applyBorder="1" applyAlignment="1">
      <alignment horizontal="center"/>
    </xf>
    <xf numFmtId="167" fontId="0" fillId="13" borderId="30" xfId="0" applyNumberFormat="1" applyFill="1" applyBorder="1" applyAlignment="1">
      <alignment horizontal="center"/>
    </xf>
    <xf numFmtId="167" fontId="0" fillId="13" borderId="48" xfId="0" applyNumberFormat="1" applyFill="1" applyBorder="1" applyAlignment="1">
      <alignment horizontal="center"/>
    </xf>
    <xf numFmtId="3" fontId="0" fillId="13" borderId="49" xfId="0" applyNumberFormat="1" applyFill="1" applyBorder="1" applyAlignment="1">
      <alignment horizontal="center"/>
    </xf>
    <xf numFmtId="3" fontId="0" fillId="13" borderId="51" xfId="0" applyNumberFormat="1" applyFill="1" applyBorder="1" applyAlignment="1">
      <alignment horizontal="center"/>
    </xf>
    <xf numFmtId="167" fontId="0" fillId="13" borderId="49" xfId="0" applyNumberFormat="1" applyFill="1" applyBorder="1" applyAlignment="1">
      <alignment horizontal="center"/>
    </xf>
    <xf numFmtId="167" fontId="0" fillId="13" borderId="50" xfId="0" applyNumberFormat="1" applyFill="1" applyBorder="1" applyAlignment="1">
      <alignment horizontal="center"/>
    </xf>
    <xf numFmtId="167" fontId="0" fillId="13" borderId="53" xfId="0" applyNumberFormat="1" applyFill="1" applyBorder="1" applyAlignment="1">
      <alignment horizontal="center"/>
    </xf>
    <xf numFmtId="0" fontId="0" fillId="12" borderId="55" xfId="0" applyFill="1" applyBorder="1" applyAlignment="1" applyProtection="1">
      <alignment horizontal="center"/>
      <protection locked="0"/>
    </xf>
    <xf numFmtId="0" fontId="0" fillId="12" borderId="56" xfId="0" applyFill="1" applyBorder="1" applyAlignment="1" applyProtection="1">
      <alignment horizontal="center"/>
      <protection locked="0"/>
    </xf>
    <xf numFmtId="0" fontId="0" fillId="0" borderId="1" xfId="0" applyBorder="1" applyAlignment="1">
      <alignment horizontal="center" wrapText="1"/>
    </xf>
    <xf numFmtId="0" fontId="0" fillId="0" borderId="12" xfId="0" applyBorder="1" applyAlignment="1">
      <alignment horizontal="center" wrapText="1"/>
    </xf>
    <xf numFmtId="0" fontId="18" fillId="9" borderId="30" xfId="0" applyFont="1" applyFill="1" applyBorder="1" applyAlignment="1" applyProtection="1">
      <alignment horizontal="center" vertical="center"/>
      <protection locked="0"/>
    </xf>
    <xf numFmtId="0" fontId="18" fillId="9" borderId="11" xfId="0" applyFont="1" applyFill="1" applyBorder="1" applyAlignment="1" applyProtection="1">
      <alignment horizontal="center" vertical="center"/>
      <protection locked="0"/>
    </xf>
    <xf numFmtId="0" fontId="16" fillId="10" borderId="9" xfId="0" applyFont="1" applyFill="1" applyBorder="1" applyAlignment="1" applyProtection="1">
      <alignment horizontal="center"/>
      <protection locked="0"/>
    </xf>
    <xf numFmtId="0" fontId="16" fillId="10" borderId="2" xfId="0" applyFont="1" applyFill="1" applyBorder="1" applyAlignment="1" applyProtection="1">
      <alignment horizontal="center"/>
      <protection locked="0"/>
    </xf>
    <xf numFmtId="0" fontId="16" fillId="10" borderId="66" xfId="0" applyFont="1" applyFill="1" applyBorder="1" applyAlignment="1" applyProtection="1">
      <alignment horizontal="center"/>
      <protection locked="0"/>
    </xf>
    <xf numFmtId="0" fontId="16" fillId="10" borderId="7" xfId="0" applyFont="1" applyFill="1" applyBorder="1" applyAlignment="1" applyProtection="1">
      <alignment horizontal="center"/>
      <protection locked="0"/>
    </xf>
    <xf numFmtId="0" fontId="16" fillId="10" borderId="63" xfId="0" applyFont="1" applyFill="1" applyBorder="1" applyAlignment="1" applyProtection="1">
      <alignment horizontal="center"/>
      <protection locked="0"/>
    </xf>
    <xf numFmtId="0" fontId="29" fillId="0" borderId="70" xfId="0" applyFont="1" applyBorder="1" applyAlignment="1">
      <alignment horizontal="center" vertical="center" wrapText="1"/>
    </xf>
    <xf numFmtId="0" fontId="28" fillId="0" borderId="73" xfId="0" applyFont="1" applyBorder="1" applyAlignment="1">
      <alignment horizontal="center" vertical="center" wrapText="1"/>
    </xf>
    <xf numFmtId="0" fontId="29" fillId="0" borderId="69" xfId="0" applyFont="1" applyBorder="1" applyAlignment="1">
      <alignment horizontal="center" vertical="center" wrapText="1"/>
    </xf>
    <xf numFmtId="0" fontId="28" fillId="0" borderId="32" xfId="0" applyFont="1" applyBorder="1" applyAlignment="1">
      <alignment horizontal="center" vertical="center" wrapText="1"/>
    </xf>
    <xf numFmtId="0" fontId="1" fillId="0" borderId="70" xfId="0" applyFont="1" applyBorder="1" applyAlignment="1">
      <alignment horizontal="center" vertical="center" wrapText="1"/>
    </xf>
    <xf numFmtId="0" fontId="1" fillId="0" borderId="73" xfId="0" applyFont="1" applyBorder="1" applyAlignment="1">
      <alignment horizontal="center" vertical="center" wrapText="1"/>
    </xf>
    <xf numFmtId="0" fontId="1" fillId="0" borderId="74" xfId="0" applyFont="1" applyFill="1" applyBorder="1" applyAlignment="1">
      <alignment horizontal="center" vertical="center" wrapText="1"/>
    </xf>
    <xf numFmtId="0" fontId="1" fillId="0" borderId="33" xfId="0" applyFont="1" applyFill="1" applyBorder="1" applyAlignment="1">
      <alignment horizontal="center" vertical="center" wrapText="1"/>
    </xf>
    <xf numFmtId="0" fontId="1" fillId="0" borderId="2" xfId="0" applyFont="1" applyBorder="1" applyAlignment="1">
      <alignment horizontal="center" vertical="center" wrapText="1"/>
    </xf>
    <xf numFmtId="0" fontId="1" fillId="0" borderId="7" xfId="0" applyFont="1" applyBorder="1" applyAlignment="1">
      <alignment horizontal="center" vertical="center" wrapText="1"/>
    </xf>
    <xf numFmtId="0" fontId="1" fillId="0" borderId="1" xfId="0" applyFont="1" applyBorder="1" applyAlignment="1">
      <alignment horizontal="center" vertical="center" wrapText="1"/>
    </xf>
    <xf numFmtId="0" fontId="1" fillId="0" borderId="4" xfId="0" applyFont="1" applyBorder="1" applyAlignment="1">
      <alignment horizontal="center" vertical="center" wrapText="1"/>
    </xf>
    <xf numFmtId="0" fontId="1" fillId="0" borderId="26" xfId="0" applyFont="1" applyBorder="1" applyAlignment="1">
      <alignment horizontal="center"/>
    </xf>
    <xf numFmtId="0" fontId="1" fillId="0" borderId="6" xfId="0" applyFont="1" applyBorder="1" applyAlignment="1">
      <alignment horizontal="center"/>
    </xf>
    <xf numFmtId="0" fontId="1" fillId="0" borderId="83" xfId="0" applyFont="1" applyBorder="1" applyAlignment="1">
      <alignment horizontal="center" vertical="center" wrapText="1"/>
    </xf>
    <xf numFmtId="0" fontId="1" fillId="0" borderId="44" xfId="0" applyFont="1" applyBorder="1" applyAlignment="1">
      <alignment horizontal="center" vertical="center" wrapText="1"/>
    </xf>
    <xf numFmtId="0" fontId="1" fillId="0" borderId="78" xfId="0" applyFont="1" applyBorder="1" applyAlignment="1">
      <alignment horizontal="center"/>
    </xf>
    <xf numFmtId="0" fontId="1" fillId="0" borderId="87" xfId="0" applyFont="1" applyBorder="1" applyAlignment="1">
      <alignment horizontal="center"/>
    </xf>
    <xf numFmtId="0" fontId="1" fillId="0" borderId="79" xfId="0" applyFont="1" applyBorder="1" applyAlignment="1">
      <alignment horizontal="center" vertical="center" wrapText="1"/>
    </xf>
    <xf numFmtId="0" fontId="1" fillId="0" borderId="43" xfId="0" applyFont="1" applyBorder="1" applyAlignment="1">
      <alignment horizontal="center" vertical="center" wrapText="1"/>
    </xf>
    <xf numFmtId="0" fontId="29" fillId="0" borderId="74" xfId="0" applyFont="1" applyBorder="1" applyAlignment="1">
      <alignment horizontal="center" vertical="center" wrapText="1"/>
    </xf>
    <xf numFmtId="0" fontId="28" fillId="0" borderId="33" xfId="0" applyFont="1" applyBorder="1" applyAlignment="1">
      <alignment horizontal="center" vertical="center" wrapText="1"/>
    </xf>
    <xf numFmtId="0" fontId="1" fillId="0" borderId="1" xfId="0" applyFont="1" applyBorder="1" applyAlignment="1">
      <alignment horizontal="center" wrapText="1"/>
    </xf>
    <xf numFmtId="0" fontId="1" fillId="0" borderId="4" xfId="0" applyFont="1" applyBorder="1" applyAlignment="1">
      <alignment horizontal="center"/>
    </xf>
    <xf numFmtId="0" fontId="1" fillId="0" borderId="12" xfId="0" applyFont="1" applyBorder="1" applyAlignment="1">
      <alignment horizontal="center"/>
    </xf>
    <xf numFmtId="0" fontId="19" fillId="0" borderId="10" xfId="0" applyFont="1" applyBorder="1" applyAlignment="1">
      <alignment horizontal="center"/>
    </xf>
    <xf numFmtId="0" fontId="19" fillId="0" borderId="9" xfId="0" applyFont="1" applyBorder="1" applyAlignment="1">
      <alignment horizontal="center"/>
    </xf>
    <xf numFmtId="0" fontId="35" fillId="0" borderId="26" xfId="0" applyFont="1" applyBorder="1" applyAlignment="1">
      <alignment horizontal="center"/>
    </xf>
    <xf numFmtId="0" fontId="35" fillId="0" borderId="5" xfId="0" applyFont="1" applyBorder="1" applyAlignment="1">
      <alignment horizontal="center"/>
    </xf>
    <xf numFmtId="0" fontId="35" fillId="0" borderId="6" xfId="0" applyFont="1" applyBorder="1" applyAlignment="1">
      <alignment horizontal="center"/>
    </xf>
    <xf numFmtId="0" fontId="35" fillId="0" borderId="89" xfId="0" applyFont="1" applyBorder="1" applyAlignment="1">
      <alignment horizontal="center" wrapText="1"/>
    </xf>
    <xf numFmtId="0" fontId="35" fillId="0" borderId="91" xfId="0" applyFont="1" applyBorder="1" applyAlignment="1">
      <alignment horizontal="center" wrapText="1"/>
    </xf>
    <xf numFmtId="0" fontId="0" fillId="0" borderId="1" xfId="0" applyFont="1" applyBorder="1" applyAlignment="1">
      <alignment horizontal="center" wrapText="1"/>
    </xf>
    <xf numFmtId="0" fontId="0" fillId="0" borderId="4" xfId="0" applyFont="1" applyBorder="1" applyAlignment="1">
      <alignment horizontal="center" wrapText="1"/>
    </xf>
    <xf numFmtId="0" fontId="52" fillId="0" borderId="39" xfId="0" applyFont="1" applyBorder="1" applyAlignment="1">
      <alignment horizontal="center" wrapText="1"/>
    </xf>
    <xf numFmtId="0" fontId="52" fillId="0" borderId="28" xfId="0" applyFont="1" applyBorder="1" applyAlignment="1">
      <alignment horizontal="center" wrapText="1"/>
    </xf>
    <xf numFmtId="0" fontId="35" fillId="0" borderId="90" xfId="0" applyFont="1" applyBorder="1" applyAlignment="1">
      <alignment horizontal="center" wrapText="1"/>
    </xf>
    <xf numFmtId="0" fontId="0" fillId="0" borderId="34" xfId="0" applyBorder="1" applyAlignment="1">
      <alignment horizontal="left" vertical="top" wrapText="1"/>
    </xf>
    <xf numFmtId="0" fontId="0" fillId="0" borderId="35" xfId="0" applyBorder="1" applyAlignment="1">
      <alignment horizontal="left" vertical="top" wrapText="1"/>
    </xf>
    <xf numFmtId="0" fontId="0" fillId="0" borderId="36" xfId="0" applyBorder="1" applyAlignment="1">
      <alignment horizontal="left" vertical="top" wrapText="1"/>
    </xf>
    <xf numFmtId="0" fontId="0" fillId="0" borderId="33" xfId="0" applyBorder="1" applyAlignment="1">
      <alignment horizontal="left" vertical="top" wrapText="1"/>
    </xf>
    <xf numFmtId="0" fontId="0" fillId="0" borderId="0" xfId="0" applyBorder="1" applyAlignment="1">
      <alignment horizontal="left" vertical="top" wrapText="1"/>
    </xf>
    <xf numFmtId="0" fontId="0" fillId="0" borderId="63" xfId="0" applyBorder="1" applyAlignment="1">
      <alignment horizontal="left" vertical="top" wrapText="1"/>
    </xf>
    <xf numFmtId="0" fontId="0" fillId="0" borderId="37" xfId="0" applyBorder="1" applyAlignment="1">
      <alignment horizontal="left" vertical="top" wrapText="1"/>
    </xf>
    <xf numFmtId="0" fontId="0" fillId="0" borderId="11" xfId="0" applyBorder="1" applyAlignment="1">
      <alignment horizontal="left" vertical="top" wrapText="1"/>
    </xf>
    <xf numFmtId="0" fontId="0" fillId="0" borderId="38" xfId="0" applyBorder="1" applyAlignment="1">
      <alignment horizontal="left" vertical="top" wrapText="1"/>
    </xf>
    <xf numFmtId="0" fontId="41" fillId="0" borderId="34" xfId="0" applyFont="1" applyBorder="1" applyAlignment="1">
      <alignment horizontal="left" vertical="top" wrapText="1"/>
    </xf>
    <xf numFmtId="0" fontId="41" fillId="0" borderId="36" xfId="0" applyFont="1" applyBorder="1" applyAlignment="1">
      <alignment horizontal="left" vertical="top" wrapText="1"/>
    </xf>
    <xf numFmtId="0" fontId="41" fillId="0" borderId="33" xfId="0" applyFont="1" applyBorder="1" applyAlignment="1">
      <alignment horizontal="left" vertical="top" wrapText="1"/>
    </xf>
    <xf numFmtId="0" fontId="41" fillId="0" borderId="63" xfId="0" applyFont="1" applyBorder="1" applyAlignment="1">
      <alignment horizontal="left" vertical="top" wrapText="1"/>
    </xf>
    <xf numFmtId="0" fontId="41" fillId="0" borderId="37" xfId="0" applyFont="1" applyBorder="1" applyAlignment="1">
      <alignment horizontal="left" vertical="top" wrapText="1"/>
    </xf>
    <xf numFmtId="0" fontId="41" fillId="0" borderId="38" xfId="0" applyFont="1" applyBorder="1" applyAlignment="1">
      <alignment horizontal="left" vertical="top" wrapText="1"/>
    </xf>
    <xf numFmtId="0" fontId="1" fillId="0" borderId="95" xfId="0" applyFont="1" applyBorder="1" applyAlignment="1">
      <alignment horizontal="center" vertical="center" wrapText="1"/>
    </xf>
    <xf numFmtId="0" fontId="1" fillId="0" borderId="96" xfId="0" applyFont="1" applyBorder="1" applyAlignment="1">
      <alignment horizontal="center" vertical="center" wrapText="1"/>
    </xf>
    <xf numFmtId="0" fontId="1" fillId="0" borderId="97" xfId="0" applyFont="1" applyBorder="1" applyAlignment="1">
      <alignment horizontal="center" vertical="center" wrapText="1"/>
    </xf>
    <xf numFmtId="0" fontId="16" fillId="10" borderId="37" xfId="0" applyFont="1" applyFill="1" applyBorder="1" applyAlignment="1" applyProtection="1">
      <alignment horizontal="center"/>
      <protection locked="0"/>
    </xf>
    <xf numFmtId="0" fontId="16" fillId="10" borderId="38" xfId="0" applyFont="1" applyFill="1" applyBorder="1" applyAlignment="1" applyProtection="1">
      <alignment horizontal="center"/>
      <protection locked="0"/>
    </xf>
    <xf numFmtId="0" fontId="12" fillId="0" borderId="92" xfId="0" applyFont="1" applyBorder="1" applyAlignment="1">
      <alignment horizontal="center" vertical="center" wrapText="1"/>
    </xf>
    <xf numFmtId="0" fontId="12" fillId="0" borderId="93" xfId="0" applyFont="1" applyBorder="1" applyAlignment="1">
      <alignment horizontal="center" vertical="center" wrapText="1"/>
    </xf>
    <xf numFmtId="0" fontId="12" fillId="0" borderId="94" xfId="0" applyFont="1" applyBorder="1" applyAlignment="1">
      <alignment horizontal="center" vertical="center" wrapText="1"/>
    </xf>
    <xf numFmtId="0" fontId="0" fillId="0" borderId="95" xfId="0" applyFont="1" applyBorder="1" applyAlignment="1">
      <alignment horizontal="center" vertical="center" wrapText="1"/>
    </xf>
    <xf numFmtId="0" fontId="0" fillId="0" borderId="96" xfId="0" applyFont="1" applyBorder="1" applyAlignment="1">
      <alignment horizontal="center" vertical="center" wrapText="1"/>
    </xf>
    <xf numFmtId="0" fontId="0" fillId="0" borderId="97" xfId="0" applyFont="1" applyBorder="1" applyAlignment="1">
      <alignment horizontal="center" vertical="center" wrapText="1"/>
    </xf>
    <xf numFmtId="0" fontId="35" fillId="0" borderId="93" xfId="0" applyFont="1" applyBorder="1" applyAlignment="1">
      <alignment horizontal="center" vertical="center" wrapText="1"/>
    </xf>
    <xf numFmtId="0" fontId="35" fillId="0" borderId="94" xfId="0" applyFont="1" applyBorder="1" applyAlignment="1">
      <alignment horizontal="center" vertical="center" wrapText="1"/>
    </xf>
    <xf numFmtId="0" fontId="47" fillId="0" borderId="95" xfId="0" applyFont="1" applyBorder="1" applyAlignment="1">
      <alignment horizontal="center" vertical="center" wrapText="1"/>
    </xf>
    <xf numFmtId="0" fontId="6" fillId="0" borderId="96" xfId="0" applyFont="1" applyBorder="1" applyAlignment="1">
      <alignment horizontal="center" vertical="center" wrapText="1"/>
    </xf>
    <xf numFmtId="0" fontId="6" fillId="0" borderId="97" xfId="0" applyFont="1" applyBorder="1" applyAlignment="1">
      <alignment horizontal="center" vertical="center" wrapText="1"/>
    </xf>
    <xf numFmtId="0" fontId="12" fillId="0" borderId="95" xfId="0" applyFont="1" applyBorder="1" applyAlignment="1">
      <alignment horizontal="center" vertical="center" wrapText="1"/>
    </xf>
    <xf numFmtId="0" fontId="12" fillId="0" borderId="96" xfId="0" applyFont="1" applyBorder="1" applyAlignment="1">
      <alignment horizontal="center" vertical="center" wrapText="1"/>
    </xf>
    <xf numFmtId="0" fontId="12" fillId="0" borderId="97" xfId="0" applyFont="1" applyBorder="1" applyAlignment="1">
      <alignment horizontal="center" vertical="center" wrapText="1"/>
    </xf>
    <xf numFmtId="0" fontId="0" fillId="0" borderId="22" xfId="0" applyBorder="1" applyAlignment="1">
      <alignment horizontal="center"/>
    </xf>
    <xf numFmtId="0" fontId="0" fillId="0" borderId="23" xfId="0" applyBorder="1" applyAlignment="1">
      <alignment horizontal="center"/>
    </xf>
    <xf numFmtId="0" fontId="0" fillId="0" borderId="24" xfId="0" applyBorder="1" applyAlignment="1">
      <alignment horizontal="center"/>
    </xf>
    <xf numFmtId="0" fontId="49" fillId="0" borderId="1" xfId="0" applyFont="1" applyBorder="1" applyAlignment="1">
      <alignment horizontal="center" wrapText="1"/>
    </xf>
    <xf numFmtId="0" fontId="47" fillId="0" borderId="4" xfId="0" applyFont="1" applyBorder="1" applyAlignment="1">
      <alignment horizontal="center"/>
    </xf>
    <xf numFmtId="0" fontId="47" fillId="0" borderId="12" xfId="0" applyFont="1" applyBorder="1" applyAlignment="1">
      <alignment horizontal="center"/>
    </xf>
    <xf numFmtId="0" fontId="47" fillId="0" borderId="1" xfId="0" applyFont="1" applyBorder="1" applyAlignment="1">
      <alignment horizontal="center" wrapText="1"/>
    </xf>
    <xf numFmtId="0" fontId="1" fillId="0" borderId="3" xfId="0" applyFont="1" applyBorder="1" applyAlignment="1">
      <alignment horizontal="center" vertical="center" wrapText="1"/>
    </xf>
    <xf numFmtId="0" fontId="1" fillId="0" borderId="0" xfId="0" applyFont="1" applyBorder="1" applyAlignment="1">
      <alignment horizontal="center" vertical="center" wrapText="1"/>
    </xf>
    <xf numFmtId="0" fontId="1" fillId="0" borderId="106" xfId="0" applyFont="1" applyBorder="1" applyAlignment="1">
      <alignment horizontal="center" vertical="center" wrapText="1"/>
    </xf>
    <xf numFmtId="0" fontId="1" fillId="0" borderId="25" xfId="0" applyFont="1" applyBorder="1" applyAlignment="1">
      <alignment horizontal="center" vertical="center" wrapText="1"/>
    </xf>
    <xf numFmtId="0" fontId="1" fillId="0" borderId="22" xfId="0" applyFont="1" applyBorder="1" applyAlignment="1">
      <alignment horizontal="center" vertical="center" wrapText="1"/>
    </xf>
    <xf numFmtId="0" fontId="1" fillId="0" borderId="24" xfId="0" applyFont="1" applyBorder="1" applyAlignment="1">
      <alignment horizontal="center" vertical="center" wrapText="1"/>
    </xf>
    <xf numFmtId="3" fontId="0" fillId="11" borderId="101" xfId="0" applyNumberFormat="1" applyFill="1" applyBorder="1" applyAlignment="1">
      <alignment horizontal="center"/>
    </xf>
    <xf numFmtId="3" fontId="0" fillId="11" borderId="102" xfId="0" applyNumberFormat="1" applyFill="1" applyBorder="1" applyAlignment="1">
      <alignment horizontal="center"/>
    </xf>
    <xf numFmtId="0" fontId="0" fillId="0" borderId="26" xfId="0" applyFont="1" applyBorder="1" applyAlignment="1">
      <alignment horizontal="center" wrapText="1"/>
    </xf>
    <xf numFmtId="0" fontId="0" fillId="0" borderId="6" xfId="0" applyFont="1" applyBorder="1" applyAlignment="1">
      <alignment horizontal="center" wrapText="1"/>
    </xf>
    <xf numFmtId="0" fontId="12" fillId="0" borderId="26" xfId="0" applyFont="1" applyBorder="1" applyAlignment="1">
      <alignment horizontal="center" vertical="center" wrapText="1"/>
    </xf>
    <xf numFmtId="0" fontId="12" fillId="0" borderId="5" xfId="0" applyFont="1" applyBorder="1" applyAlignment="1">
      <alignment horizontal="center" vertical="center" wrapText="1"/>
    </xf>
    <xf numFmtId="0" fontId="12" fillId="0" borderId="6" xfId="0" applyFont="1" applyBorder="1" applyAlignment="1">
      <alignment horizontal="center" vertical="center" wrapText="1"/>
    </xf>
    <xf numFmtId="0" fontId="1" fillId="0" borderId="5" xfId="0" applyFont="1" applyBorder="1" applyAlignment="1">
      <alignment horizontal="center"/>
    </xf>
    <xf numFmtId="0" fontId="1" fillId="0" borderId="111" xfId="0" applyFont="1" applyBorder="1" applyAlignment="1">
      <alignment horizontal="center"/>
    </xf>
    <xf numFmtId="0" fontId="1" fillId="0" borderId="112" xfId="0" applyFont="1" applyBorder="1" applyAlignment="1">
      <alignment horizontal="center"/>
    </xf>
    <xf numFmtId="0" fontId="1" fillId="0" borderId="26" xfId="0" applyFont="1" applyBorder="1" applyAlignment="1">
      <alignment horizontal="center" vertical="center" wrapText="1"/>
    </xf>
    <xf numFmtId="0" fontId="1" fillId="0" borderId="113" xfId="0" applyFont="1" applyBorder="1" applyAlignment="1">
      <alignment horizontal="center" vertical="center" wrapText="1"/>
    </xf>
    <xf numFmtId="0" fontId="1" fillId="16" borderId="26" xfId="0" applyFont="1" applyFill="1" applyBorder="1" applyAlignment="1">
      <alignment horizontal="left" vertical="center" wrapText="1"/>
    </xf>
    <xf numFmtId="0" fontId="1" fillId="16" borderId="5" xfId="0" applyFont="1" applyFill="1" applyBorder="1" applyAlignment="1">
      <alignment horizontal="left" vertical="center" wrapText="1"/>
    </xf>
    <xf numFmtId="0" fontId="1" fillId="16" borderId="6" xfId="0" applyFont="1" applyFill="1" applyBorder="1" applyAlignment="1">
      <alignment horizontal="left" vertical="center" wrapText="1"/>
    </xf>
    <xf numFmtId="0" fontId="0" fillId="11" borderId="55" xfId="0" applyFill="1" applyBorder="1" applyAlignment="1">
      <alignment horizontal="center"/>
    </xf>
    <xf numFmtId="0" fontId="0" fillId="11" borderId="56" xfId="0" applyFill="1" applyBorder="1" applyAlignment="1">
      <alignment horizontal="center"/>
    </xf>
    <xf numFmtId="0" fontId="0" fillId="11" borderId="54" xfId="0" applyFill="1" applyBorder="1" applyAlignment="1">
      <alignment horizontal="center"/>
    </xf>
    <xf numFmtId="0" fontId="16" fillId="11" borderId="98" xfId="0" applyFont="1" applyFill="1" applyBorder="1" applyAlignment="1" applyProtection="1">
      <alignment horizontal="center"/>
      <protection locked="0"/>
    </xf>
    <xf numFmtId="0" fontId="16" fillId="11" borderId="51" xfId="0" applyFont="1" applyFill="1" applyBorder="1" applyAlignment="1" applyProtection="1">
      <alignment horizontal="center"/>
      <protection locked="0"/>
    </xf>
    <xf numFmtId="0" fontId="16" fillId="11" borderId="8" xfId="0" applyFont="1" applyFill="1" applyBorder="1" applyAlignment="1" applyProtection="1">
      <alignment horizontal="center"/>
      <protection locked="0"/>
    </xf>
    <xf numFmtId="0" fontId="16" fillId="11" borderId="9" xfId="0" applyFont="1" applyFill="1" applyBorder="1" applyAlignment="1" applyProtection="1">
      <alignment horizontal="center"/>
      <protection locked="0"/>
    </xf>
    <xf numFmtId="0" fontId="16" fillId="11" borderId="72" xfId="0" applyFont="1" applyFill="1" applyBorder="1" applyAlignment="1" applyProtection="1">
      <alignment horizontal="center"/>
      <protection locked="0"/>
    </xf>
    <xf numFmtId="0" fontId="16" fillId="11" borderId="54" xfId="0" applyFont="1" applyFill="1" applyBorder="1" applyAlignment="1" applyProtection="1">
      <alignment horizontal="center"/>
      <protection locked="0"/>
    </xf>
    <xf numFmtId="0" fontId="0" fillId="11" borderId="49" xfId="0" applyFill="1" applyBorder="1" applyAlignment="1">
      <alignment horizontal="center"/>
    </xf>
    <xf numFmtId="0" fontId="0" fillId="11" borderId="50" xfId="0" applyFill="1" applyBorder="1" applyAlignment="1">
      <alignment horizontal="center"/>
    </xf>
    <xf numFmtId="0" fontId="0" fillId="11" borderId="51" xfId="0" applyFill="1" applyBorder="1" applyAlignment="1">
      <alignment horizontal="center"/>
    </xf>
    <xf numFmtId="0" fontId="0" fillId="11" borderId="10" xfId="0" applyFill="1" applyBorder="1" applyAlignment="1">
      <alignment horizontal="center"/>
    </xf>
    <xf numFmtId="0" fontId="0" fillId="11" borderId="30" xfId="0" applyFill="1" applyBorder="1" applyAlignment="1">
      <alignment horizontal="center"/>
    </xf>
    <xf numFmtId="0" fontId="0" fillId="11" borderId="9" xfId="0" applyFill="1" applyBorder="1" applyAlignment="1">
      <alignment horizontal="center"/>
    </xf>
    <xf numFmtId="0" fontId="18" fillId="11" borderId="11" xfId="0" applyFont="1" applyFill="1" applyBorder="1" applyAlignment="1" applyProtection="1">
      <alignment horizontal="center" vertical="center"/>
      <protection locked="0"/>
    </xf>
    <xf numFmtId="0" fontId="18" fillId="11" borderId="30" xfId="0" applyFont="1" applyFill="1" applyBorder="1" applyAlignment="1" applyProtection="1">
      <alignment horizontal="center" vertical="center"/>
      <protection locked="0"/>
    </xf>
    <xf numFmtId="3" fontId="0" fillId="11" borderId="100" xfId="0" applyNumberFormat="1" applyFill="1" applyBorder="1" applyAlignment="1">
      <alignment horizontal="center"/>
    </xf>
    <xf numFmtId="0" fontId="16" fillId="11" borderId="31" xfId="0" applyFont="1" applyFill="1" applyBorder="1" applyAlignment="1" applyProtection="1">
      <alignment horizontal="center"/>
      <protection locked="0"/>
    </xf>
    <xf numFmtId="0" fontId="16" fillId="11" borderId="28" xfId="0" applyFont="1" applyFill="1" applyBorder="1" applyAlignment="1" applyProtection="1">
      <alignment horizontal="center"/>
      <protection locked="0"/>
    </xf>
    <xf numFmtId="169" fontId="0" fillId="11" borderId="114" xfId="3" applyNumberFormat="1" applyFont="1" applyFill="1" applyBorder="1" applyAlignment="1">
      <alignment horizontal="center"/>
    </xf>
    <xf numFmtId="169" fontId="0" fillId="11" borderId="104" xfId="3" applyNumberFormat="1" applyFont="1" applyFill="1" applyBorder="1" applyAlignment="1">
      <alignment horizontal="center"/>
    </xf>
    <xf numFmtId="0" fontId="0" fillId="0" borderId="121" xfId="0" applyBorder="1" applyAlignment="1">
      <alignment horizontal="center"/>
    </xf>
    <xf numFmtId="0" fontId="0" fillId="0" borderId="122" xfId="0" applyBorder="1" applyAlignment="1">
      <alignment horizontal="center"/>
    </xf>
    <xf numFmtId="0" fontId="0" fillId="0" borderId="51" xfId="0" applyBorder="1" applyAlignment="1">
      <alignment horizontal="center"/>
    </xf>
    <xf numFmtId="0" fontId="0" fillId="0" borderId="99" xfId="0" applyBorder="1" applyAlignment="1">
      <alignment horizontal="center"/>
    </xf>
    <xf numFmtId="0" fontId="1" fillId="0" borderId="26" xfId="0" applyFont="1" applyBorder="1" applyAlignment="1">
      <alignment horizontal="center" wrapText="1"/>
    </xf>
    <xf numFmtId="0" fontId="1" fillId="0" borderId="5" xfId="0" applyFont="1" applyBorder="1" applyAlignment="1">
      <alignment horizontal="center" wrapText="1"/>
    </xf>
    <xf numFmtId="0" fontId="1" fillId="0" borderId="6" xfId="0" applyFont="1" applyBorder="1" applyAlignment="1">
      <alignment horizontal="center" wrapText="1"/>
    </xf>
    <xf numFmtId="0" fontId="0" fillId="0" borderId="126" xfId="0" applyBorder="1" applyAlignment="1">
      <alignment horizontal="center"/>
    </xf>
    <xf numFmtId="0" fontId="0" fillId="0" borderId="127" xfId="0" applyBorder="1" applyAlignment="1">
      <alignment horizontal="center"/>
    </xf>
    <xf numFmtId="0" fontId="6" fillId="0" borderId="0" xfId="0" applyFont="1" applyBorder="1" applyAlignment="1">
      <alignment horizontal="left" wrapText="1"/>
    </xf>
    <xf numFmtId="0" fontId="6" fillId="0" borderId="0" xfId="0" applyFont="1" applyAlignment="1">
      <alignment horizontal="center"/>
    </xf>
    <xf numFmtId="0" fontId="0" fillId="0" borderId="0" xfId="0" applyFill="1" applyBorder="1" applyAlignment="1">
      <alignment horizontal="center"/>
    </xf>
    <xf numFmtId="0" fontId="12" fillId="0" borderId="1" xfId="0" applyFont="1" applyBorder="1" applyAlignment="1">
      <alignment horizontal="center" vertical="center" wrapText="1"/>
    </xf>
    <xf numFmtId="0" fontId="12" fillId="0" borderId="4" xfId="0" applyFont="1" applyBorder="1" applyAlignment="1">
      <alignment horizontal="center" vertical="center" wrapText="1"/>
    </xf>
    <xf numFmtId="0" fontId="12" fillId="0" borderId="12" xfId="0" applyFont="1" applyBorder="1" applyAlignment="1">
      <alignment horizontal="center" vertical="center" wrapText="1"/>
    </xf>
    <xf numFmtId="0" fontId="12" fillId="0" borderId="39" xfId="0" applyFont="1" applyBorder="1" applyAlignment="1">
      <alignment horizontal="center" vertical="center" wrapText="1"/>
    </xf>
    <xf numFmtId="0" fontId="12" fillId="0" borderId="28" xfId="0" applyFont="1" applyBorder="1" applyAlignment="1">
      <alignment horizontal="center" vertical="center" wrapText="1"/>
    </xf>
    <xf numFmtId="0" fontId="2" fillId="2" borderId="1" xfId="0" applyFont="1" applyFill="1" applyBorder="1" applyAlignment="1">
      <alignment horizontal="center" vertical="center" wrapText="1"/>
    </xf>
    <xf numFmtId="0" fontId="2" fillId="2" borderId="4" xfId="0" applyFont="1" applyFill="1" applyBorder="1" applyAlignment="1">
      <alignment horizontal="center" vertical="center" wrapText="1"/>
    </xf>
    <xf numFmtId="0" fontId="2" fillId="2" borderId="12" xfId="0" applyFont="1" applyFill="1" applyBorder="1" applyAlignment="1">
      <alignment horizontal="center" vertical="center" wrapText="1"/>
    </xf>
    <xf numFmtId="0" fontId="9" fillId="0" borderId="5" xfId="0" applyFont="1" applyBorder="1" applyAlignment="1">
      <alignment horizontal="center"/>
    </xf>
    <xf numFmtId="0" fontId="9" fillId="0" borderId="6" xfId="0" applyFont="1" applyBorder="1" applyAlignment="1">
      <alignment horizontal="center"/>
    </xf>
    <xf numFmtId="0" fontId="0" fillId="0" borderId="2" xfId="0" applyBorder="1" applyAlignment="1">
      <alignment horizontal="center" wrapText="1"/>
    </xf>
    <xf numFmtId="0" fontId="0" fillId="0" borderId="25" xfId="0" applyBorder="1" applyAlignment="1">
      <alignment horizontal="center" wrapText="1"/>
    </xf>
    <xf numFmtId="0" fontId="0" fillId="0" borderId="22" xfId="0" applyBorder="1" applyAlignment="1">
      <alignment horizontal="center" wrapText="1"/>
    </xf>
    <xf numFmtId="0" fontId="0" fillId="0" borderId="24" xfId="0" applyBorder="1" applyAlignment="1">
      <alignment horizontal="center" wrapText="1"/>
    </xf>
    <xf numFmtId="0" fontId="11" fillId="0" borderId="5" xfId="0" applyFont="1" applyBorder="1" applyAlignment="1">
      <alignment horizontal="center"/>
    </xf>
    <xf numFmtId="0" fontId="11" fillId="0" borderId="6" xfId="0" applyFont="1" applyBorder="1" applyAlignment="1">
      <alignment horizontal="center"/>
    </xf>
    <xf numFmtId="0" fontId="1" fillId="4" borderId="2" xfId="0" applyFont="1" applyFill="1" applyBorder="1" applyAlignment="1">
      <alignment horizontal="center" wrapText="1"/>
    </xf>
    <xf numFmtId="0" fontId="1" fillId="4" borderId="3" xfId="0" applyFont="1" applyFill="1" applyBorder="1" applyAlignment="1">
      <alignment horizontal="center" wrapText="1"/>
    </xf>
    <xf numFmtId="0" fontId="1" fillId="4" borderId="25" xfId="0" applyFont="1" applyFill="1" applyBorder="1" applyAlignment="1">
      <alignment horizontal="center" wrapText="1"/>
    </xf>
    <xf numFmtId="0" fontId="1" fillId="4" borderId="22" xfId="0" applyFont="1" applyFill="1" applyBorder="1" applyAlignment="1">
      <alignment horizontal="center" wrapText="1"/>
    </xf>
    <xf numFmtId="0" fontId="1" fillId="4" borderId="23" xfId="0" applyFont="1" applyFill="1" applyBorder="1" applyAlignment="1">
      <alignment horizontal="center" wrapText="1"/>
    </xf>
    <xf numFmtId="0" fontId="1" fillId="4" borderId="24" xfId="0" applyFont="1" applyFill="1" applyBorder="1" applyAlignment="1">
      <alignment horizontal="center" wrapText="1"/>
    </xf>
    <xf numFmtId="0" fontId="0" fillId="0" borderId="15" xfId="0" applyBorder="1" applyAlignment="1">
      <alignment horizontal="center"/>
    </xf>
    <xf numFmtId="0" fontId="0" fillId="0" borderId="16" xfId="0" applyBorder="1" applyAlignment="1">
      <alignment horizontal="center"/>
    </xf>
    <xf numFmtId="0" fontId="0" fillId="0" borderId="59" xfId="0" applyBorder="1" applyAlignment="1">
      <alignment horizontal="center"/>
    </xf>
    <xf numFmtId="0" fontId="0" fillId="0" borderId="60" xfId="0" applyBorder="1" applyAlignment="1">
      <alignment horizontal="center"/>
    </xf>
    <xf numFmtId="0" fontId="0" fillId="0" borderId="19" xfId="0" applyFill="1" applyBorder="1" applyAlignment="1">
      <alignment horizontal="center"/>
    </xf>
    <xf numFmtId="0" fontId="0" fillId="0" borderId="20" xfId="0" applyFill="1" applyBorder="1" applyAlignment="1">
      <alignment horizontal="center"/>
    </xf>
    <xf numFmtId="0" fontId="0" fillId="5" borderId="8" xfId="0" applyNumberFormat="1" applyFill="1" applyBorder="1" applyAlignment="1">
      <alignment horizontal="center"/>
    </xf>
    <xf numFmtId="0" fontId="0" fillId="5" borderId="9" xfId="0" applyNumberFormat="1" applyFill="1" applyBorder="1" applyAlignment="1">
      <alignment horizontal="center"/>
    </xf>
    <xf numFmtId="0" fontId="0" fillId="5" borderId="31" xfId="0" applyFill="1" applyBorder="1" applyAlignment="1">
      <alignment horizontal="center"/>
    </xf>
    <xf numFmtId="0" fontId="21" fillId="0" borderId="0" xfId="1" applyFont="1" applyFill="1" applyBorder="1" applyAlignment="1">
      <alignment horizontal="left"/>
    </xf>
    <xf numFmtId="0" fontId="0" fillId="4" borderId="26" xfId="0" applyFill="1" applyBorder="1" applyAlignment="1">
      <alignment horizontal="center" vertical="center"/>
    </xf>
    <xf numFmtId="0" fontId="0" fillId="4" borderId="6" xfId="0" applyFill="1" applyBorder="1" applyAlignment="1">
      <alignment horizontal="center" vertical="center"/>
    </xf>
    <xf numFmtId="0" fontId="0" fillId="4" borderId="26" xfId="0" applyFill="1" applyBorder="1" applyAlignment="1">
      <alignment horizontal="center" vertical="center" wrapText="1"/>
    </xf>
    <xf numFmtId="0" fontId="0" fillId="4" borderId="6" xfId="0" applyFill="1" applyBorder="1" applyAlignment="1">
      <alignment horizontal="center" vertical="center" wrapText="1"/>
    </xf>
    <xf numFmtId="0" fontId="21" fillId="0" borderId="15" xfId="1" applyFont="1" applyFill="1" applyBorder="1" applyAlignment="1">
      <alignment horizontal="left"/>
    </xf>
    <xf numFmtId="0" fontId="0" fillId="0" borderId="64" xfId="0" applyBorder="1" applyAlignment="1">
      <alignment horizontal="left"/>
    </xf>
    <xf numFmtId="0" fontId="0" fillId="0" borderId="59" xfId="0" applyBorder="1" applyAlignment="1">
      <alignment horizontal="left"/>
    </xf>
    <xf numFmtId="0" fontId="21" fillId="0" borderId="59" xfId="1" applyFont="1" applyFill="1" applyBorder="1" applyAlignment="1">
      <alignment horizontal="left"/>
    </xf>
    <xf numFmtId="0" fontId="0" fillId="4" borderId="34" xfId="0" applyNumberFormat="1" applyFill="1" applyBorder="1" applyAlignment="1">
      <alignment horizontal="center" vertical="center" wrapText="1"/>
    </xf>
    <xf numFmtId="0" fontId="0" fillId="4" borderId="35" xfId="0" applyNumberFormat="1" applyFill="1" applyBorder="1" applyAlignment="1">
      <alignment horizontal="center" vertical="center" wrapText="1"/>
    </xf>
    <xf numFmtId="0" fontId="0" fillId="4" borderId="36" xfId="0" applyNumberFormat="1" applyFill="1" applyBorder="1" applyAlignment="1">
      <alignment horizontal="center" vertical="center" wrapText="1"/>
    </xf>
    <xf numFmtId="0" fontId="0" fillId="4" borderId="37" xfId="0" applyNumberFormat="1" applyFill="1" applyBorder="1" applyAlignment="1">
      <alignment horizontal="center" vertical="center" wrapText="1"/>
    </xf>
    <xf numFmtId="0" fontId="0" fillId="4" borderId="11" xfId="0" applyNumberFormat="1" applyFill="1" applyBorder="1" applyAlignment="1">
      <alignment horizontal="center" vertical="center" wrapText="1"/>
    </xf>
    <xf numFmtId="0" fontId="0" fillId="4" borderId="38" xfId="0" applyNumberFormat="1" applyFill="1" applyBorder="1" applyAlignment="1">
      <alignment horizontal="center" vertical="center" wrapText="1"/>
    </xf>
    <xf numFmtId="0" fontId="0" fillId="0" borderId="7" xfId="0" applyBorder="1" applyAlignment="1">
      <alignment horizontal="left"/>
    </xf>
    <xf numFmtId="0" fontId="0" fillId="0" borderId="0" xfId="0" applyBorder="1" applyAlignment="1">
      <alignment horizontal="left"/>
    </xf>
    <xf numFmtId="0" fontId="0" fillId="0" borderId="61" xfId="0" applyBorder="1" applyAlignment="1">
      <alignment horizontal="center"/>
    </xf>
    <xf numFmtId="0" fontId="0" fillId="0" borderId="62" xfId="0" applyBorder="1" applyAlignment="1">
      <alignment horizontal="center"/>
    </xf>
    <xf numFmtId="0" fontId="0" fillId="0" borderId="14" xfId="0" applyBorder="1" applyAlignment="1">
      <alignment horizontal="left"/>
    </xf>
    <xf numFmtId="0" fontId="0" fillId="0" borderId="15" xfId="0" applyBorder="1" applyAlignment="1">
      <alignment horizontal="left"/>
    </xf>
    <xf numFmtId="0" fontId="0" fillId="0" borderId="65" xfId="0" applyBorder="1" applyAlignment="1">
      <alignment horizontal="left"/>
    </xf>
    <xf numFmtId="0" fontId="0" fillId="0" borderId="61" xfId="0" applyBorder="1" applyAlignment="1">
      <alignment horizontal="left"/>
    </xf>
    <xf numFmtId="0" fontId="0" fillId="5" borderId="28" xfId="0" applyFill="1" applyBorder="1" applyAlignment="1">
      <alignment horizontal="center"/>
    </xf>
    <xf numFmtId="0" fontId="0" fillId="0" borderId="2" xfId="0" applyBorder="1" applyAlignment="1">
      <alignment horizontal="left"/>
    </xf>
    <xf numFmtId="0" fontId="0" fillId="0" borderId="3" xfId="0" applyBorder="1" applyAlignment="1">
      <alignment horizontal="left"/>
    </xf>
    <xf numFmtId="0" fontId="21" fillId="0" borderId="3" xfId="1" applyFont="1" applyFill="1" applyBorder="1" applyAlignment="1">
      <alignment horizontal="left"/>
    </xf>
    <xf numFmtId="0" fontId="0" fillId="0" borderId="0" xfId="0" applyAlignment="1">
      <alignment horizontal="left" wrapText="1"/>
    </xf>
    <xf numFmtId="0" fontId="0" fillId="0" borderId="18" xfId="0" applyFill="1" applyBorder="1" applyAlignment="1">
      <alignment horizontal="left"/>
    </xf>
    <xf numFmtId="0" fontId="0" fillId="0" borderId="19" xfId="0" applyFill="1" applyBorder="1" applyAlignment="1">
      <alignment horizontal="left"/>
    </xf>
    <xf numFmtId="0" fontId="0" fillId="4" borderId="10" xfId="0" applyNumberFormat="1" applyFill="1" applyBorder="1" applyAlignment="1">
      <alignment horizontal="center" wrapText="1"/>
    </xf>
    <xf numFmtId="0" fontId="0" fillId="4" borderId="30" xfId="0" applyNumberFormat="1" applyFill="1" applyBorder="1" applyAlignment="1">
      <alignment horizontal="center" wrapText="1"/>
    </xf>
    <xf numFmtId="0" fontId="0" fillId="4" borderId="9" xfId="0" applyNumberFormat="1" applyFill="1" applyBorder="1" applyAlignment="1">
      <alignment horizontal="center" wrapText="1"/>
    </xf>
    <xf numFmtId="0" fontId="16" fillId="7" borderId="26" xfId="0" applyFont="1" applyFill="1" applyBorder="1" applyAlignment="1" applyProtection="1">
      <alignment horizontal="center"/>
      <protection locked="0"/>
    </xf>
    <xf numFmtId="0" fontId="16" fillId="7" borderId="6" xfId="0" applyFont="1" applyFill="1" applyBorder="1" applyAlignment="1" applyProtection="1">
      <alignment horizontal="center"/>
      <protection locked="0"/>
    </xf>
    <xf numFmtId="0" fontId="1" fillId="7" borderId="0" xfId="0" applyFont="1" applyFill="1" applyBorder="1" applyAlignment="1">
      <alignment horizontal="center"/>
    </xf>
    <xf numFmtId="0" fontId="0" fillId="17" borderId="11" xfId="0" applyFill="1" applyBorder="1" applyAlignment="1">
      <alignment wrapText="1"/>
    </xf>
    <xf numFmtId="0" fontId="0" fillId="17" borderId="30" xfId="0" applyFill="1" applyBorder="1" applyAlignment="1">
      <alignment wrapText="1"/>
    </xf>
    <xf numFmtId="0" fontId="0" fillId="17" borderId="0" xfId="0" applyFont="1" applyFill="1"/>
    <xf numFmtId="0" fontId="1" fillId="17" borderId="0" xfId="0" applyFont="1" applyFill="1" applyAlignment="1">
      <alignment wrapText="1"/>
    </xf>
    <xf numFmtId="0" fontId="0" fillId="17" borderId="31" xfId="0" applyFill="1" applyBorder="1" applyAlignment="1">
      <alignment wrapText="1"/>
    </xf>
    <xf numFmtId="0" fontId="0" fillId="17" borderId="0" xfId="0" applyFill="1" applyAlignment="1">
      <alignment wrapText="1"/>
    </xf>
    <xf numFmtId="0" fontId="65" fillId="0" borderId="0" xfId="0" applyFont="1"/>
    <xf numFmtId="0" fontId="45" fillId="0" borderId="0" xfId="0" applyFont="1" applyAlignment="1">
      <alignment wrapText="1"/>
    </xf>
  </cellXfs>
  <cellStyles count="7">
    <cellStyle name="Currency" xfId="3" builtinId="4"/>
    <cellStyle name="Hyperlink" xfId="6" builtinId="8"/>
    <cellStyle name="Normal" xfId="0" builtinId="0"/>
    <cellStyle name="Normal_Dairy-Mass" xfId="4" xr:uid="{00000000-0005-0000-0000-000003000000}"/>
    <cellStyle name="Normal_Mixing-Volume or mass 3-16-05" xfId="2" xr:uid="{00000000-0005-0000-0000-000004000000}"/>
    <cellStyle name="Normal_WSS Sizing Calculator" xfId="1" xr:uid="{00000000-0005-0000-0000-000005000000}"/>
    <cellStyle name="Percent" xfId="5" builtinId="5"/>
  </cellStyles>
  <dxfs count="0"/>
  <tableStyles count="0" defaultTableStyle="TableStyleMedium2" defaultPivotStyle="PivotStyleLight16"/>
  <colors>
    <mruColors>
      <color rgb="FFFFCCCC"/>
      <color rgb="FF99FFCC"/>
      <color rgb="FFFFFFCC"/>
      <color rgb="FFFFCC99"/>
      <color rgb="FFCCFFCC"/>
      <color rgb="FFD5FFAB"/>
      <color rgb="FFCCFF99"/>
      <color rgb="FFE4FFC9"/>
      <color rgb="FFDCFFB9"/>
      <color rgb="FFD1FFE8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emf"/><Relationship Id="rId2" Type="http://schemas.openxmlformats.org/officeDocument/2006/relationships/image" Target="../media/image2.emf"/><Relationship Id="rId1" Type="http://schemas.openxmlformats.org/officeDocument/2006/relationships/image" Target="../media/image1.png"/><Relationship Id="rId4" Type="http://schemas.openxmlformats.org/officeDocument/2006/relationships/image" Target="../media/image4.emf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image" Target="../media/image7.png"/><Relationship Id="rId2" Type="http://schemas.openxmlformats.org/officeDocument/2006/relationships/image" Target="../media/image6.JPG"/><Relationship Id="rId1" Type="http://schemas.openxmlformats.org/officeDocument/2006/relationships/image" Target="../media/image5.JPG"/><Relationship Id="rId5" Type="http://schemas.openxmlformats.org/officeDocument/2006/relationships/image" Target="../media/image9.png"/><Relationship Id="rId4" Type="http://schemas.openxmlformats.org/officeDocument/2006/relationships/image" Target="../media/image8.png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image" Target="../media/image7.png"/><Relationship Id="rId2" Type="http://schemas.openxmlformats.org/officeDocument/2006/relationships/image" Target="../media/image6.JPG"/><Relationship Id="rId1" Type="http://schemas.openxmlformats.org/officeDocument/2006/relationships/image" Target="../media/image5.JPG"/><Relationship Id="rId5" Type="http://schemas.openxmlformats.org/officeDocument/2006/relationships/image" Target="../media/image9.png"/><Relationship Id="rId4" Type="http://schemas.openxmlformats.org/officeDocument/2006/relationships/image" Target="../media/image8.png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7.xml.rels><?xml version="1.0" encoding="UTF-8" standalone="yes"?>
<Relationships xmlns="http://schemas.openxmlformats.org/package/2006/relationships"><Relationship Id="rId2" Type="http://schemas.openxmlformats.org/officeDocument/2006/relationships/image" Target="../media/image11.png"/><Relationship Id="rId1" Type="http://schemas.openxmlformats.org/officeDocument/2006/relationships/image" Target="../media/image10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257175</xdr:colOff>
      <xdr:row>1</xdr:row>
      <xdr:rowOff>47625</xdr:rowOff>
    </xdr:from>
    <xdr:to>
      <xdr:col>9</xdr:col>
      <xdr:colOff>320983</xdr:colOff>
      <xdr:row>5</xdr:row>
      <xdr:rowOff>57149</xdr:rowOff>
    </xdr:to>
    <xdr:pic>
      <xdr:nvPicPr>
        <xdr:cNvPr id="3" name="Picture 1071" descr="logo5USDA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257175" y="238125"/>
          <a:ext cx="5550208" cy="771524"/>
        </a:xfrm>
        <a:prstGeom prst="rect">
          <a:avLst/>
        </a:prstGeom>
        <a:noFill/>
        <a:ln w="6350">
          <a:solidFill>
            <a:schemeClr val="tx1"/>
          </a:solidFill>
          <a:miter lim="800000"/>
          <a:headEnd/>
          <a:tailEnd/>
        </a:ln>
      </xdr:spPr>
    </xdr:pic>
    <xdr:clientData/>
  </xdr:twoCellAnchor>
  <xdr:twoCellAnchor>
    <xdr:from>
      <xdr:col>2</xdr:col>
      <xdr:colOff>228600</xdr:colOff>
      <xdr:row>9</xdr:row>
      <xdr:rowOff>123825</xdr:rowOff>
    </xdr:from>
    <xdr:to>
      <xdr:col>17</xdr:col>
      <xdr:colOff>76200</xdr:colOff>
      <xdr:row>20</xdr:row>
      <xdr:rowOff>66675</xdr:rowOff>
    </xdr:to>
    <xdr:sp macro="" textlink="">
      <xdr:nvSpPr>
        <xdr:cNvPr id="4" name="TextBox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SpPr txBox="1"/>
      </xdr:nvSpPr>
      <xdr:spPr>
        <a:xfrm>
          <a:off x="1447800" y="1933575"/>
          <a:ext cx="8991600" cy="2038350"/>
        </a:xfrm>
        <a:prstGeom prst="rect">
          <a:avLst/>
        </a:prstGeom>
        <a:ln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marL="171450" marR="0" lvl="0" indent="-171450" defTabSz="914400" eaLnBrk="1" fontAlgn="auto" latinLnBrk="0" hangingPunct="1">
            <a:lnSpc>
              <a:spcPct val="100000"/>
            </a:lnSpc>
            <a:spcBef>
              <a:spcPts val="600"/>
            </a:spcBef>
            <a:spcAft>
              <a:spcPts val="0"/>
            </a:spcAft>
            <a:buClrTx/>
            <a:buSzTx/>
            <a:buFont typeface="Arial" panose="020B0604020202020204" pitchFamily="34" charset="0"/>
            <a:buChar char="•"/>
            <a:tabLst/>
            <a:defRPr/>
          </a:pPr>
          <a:r>
            <a:rPr kumimoji="0" lang="en-US" sz="1100" b="0" i="0" u="none" strike="noStrike" kern="0" cap="none" spc="0" normalizeH="0" baseline="0" noProof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+mn-lt"/>
              <a:ea typeface="+mn-ea"/>
              <a:cs typeface="+mn-cs"/>
            </a:rPr>
            <a:t>A deep bedded pack facility houses livestock for a confined feeding period in a covered facility on a pack of accumulated bedding and manure. </a:t>
          </a:r>
        </a:p>
        <a:p>
          <a:pPr marL="171450" marR="0" lvl="0" indent="-171450" defTabSz="914400" eaLnBrk="1" fontAlgn="auto" latinLnBrk="0" hangingPunct="1">
            <a:lnSpc>
              <a:spcPct val="100000"/>
            </a:lnSpc>
            <a:spcBef>
              <a:spcPts val="600"/>
            </a:spcBef>
            <a:spcAft>
              <a:spcPts val="0"/>
            </a:spcAft>
            <a:buClrTx/>
            <a:buSzTx/>
            <a:buFont typeface="Arial" panose="020B0604020202020204" pitchFamily="34" charset="0"/>
            <a:buChar char="•"/>
            <a:tabLst/>
            <a:defRPr/>
          </a:pPr>
          <a:r>
            <a:rPr kumimoji="0" lang="en-US" sz="1100" b="0" i="0" u="none" strike="noStrike" kern="0" cap="none" spc="0" normalizeH="0" baseline="0" noProof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+mn-lt"/>
              <a:ea typeface="+mn-ea"/>
              <a:cs typeface="+mn-cs"/>
            </a:rPr>
            <a:t>The pack is built on an initial base consisting of a thick layer of about 12 to 18 inches of wood chips.  The base will provide bed-pack porosity, aeration, absorption of liquids and prevent the leaching of wastewater.  The initial base of course wood chips will provide a stable pack foundation. </a:t>
          </a:r>
        </a:p>
        <a:p>
          <a:pPr marL="171450" marR="0" lvl="0" indent="-171450" defTabSz="914400" eaLnBrk="1" fontAlgn="auto" latinLnBrk="0" hangingPunct="1">
            <a:lnSpc>
              <a:spcPct val="100000"/>
            </a:lnSpc>
            <a:spcBef>
              <a:spcPts val="600"/>
            </a:spcBef>
            <a:spcAft>
              <a:spcPts val="0"/>
            </a:spcAft>
            <a:buClrTx/>
            <a:buSzTx/>
            <a:buFont typeface="Arial" panose="020B0604020202020204" pitchFamily="34" charset="0"/>
            <a:buChar char="•"/>
            <a:tabLst/>
            <a:defRPr/>
          </a:pPr>
          <a:r>
            <a:rPr kumimoji="0" lang="en-US" sz="1100" b="0" i="0" u="none" strike="noStrike" kern="0" cap="none" spc="0" normalizeH="0" baseline="0" noProof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+mn-lt"/>
              <a:ea typeface="+mn-ea"/>
              <a:cs typeface="+mn-cs"/>
            </a:rPr>
            <a:t>Additional bedding is added to the pack on a daily basis. </a:t>
          </a:r>
        </a:p>
        <a:p>
          <a:pPr marL="171450" marR="0" lvl="0" indent="-171450" defTabSz="914400" eaLnBrk="1" fontAlgn="auto" latinLnBrk="0" hangingPunct="1">
            <a:lnSpc>
              <a:spcPct val="100000"/>
            </a:lnSpc>
            <a:spcBef>
              <a:spcPts val="600"/>
            </a:spcBef>
            <a:spcAft>
              <a:spcPts val="0"/>
            </a:spcAft>
            <a:buClrTx/>
            <a:buSzTx/>
            <a:buFont typeface="Arial" panose="020B0604020202020204" pitchFamily="34" charset="0"/>
            <a:buChar char="•"/>
            <a:tabLst/>
            <a:defRPr/>
          </a:pPr>
          <a:r>
            <a:rPr kumimoji="0" lang="en-US" sz="1100" b="0" i="0" u="none" strike="noStrike" kern="0" cap="none" spc="0" normalizeH="0" baseline="0" noProof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+mn-lt"/>
              <a:ea typeface="+mn-ea"/>
              <a:cs typeface="+mn-cs"/>
            </a:rPr>
            <a:t>The bedded pack can become several feet thick before it is removed depending on the livestock confinement period, number of animals, type and size. </a:t>
          </a:r>
        </a:p>
        <a:p>
          <a:pPr marL="171450" marR="0" lvl="0" indent="-171450" defTabSz="914400" eaLnBrk="1" fontAlgn="auto" latinLnBrk="0" hangingPunct="1">
            <a:lnSpc>
              <a:spcPct val="100000"/>
            </a:lnSpc>
            <a:spcBef>
              <a:spcPts val="600"/>
            </a:spcBef>
            <a:spcAft>
              <a:spcPts val="0"/>
            </a:spcAft>
            <a:buClrTx/>
            <a:buSzTx/>
            <a:buFont typeface="Arial" panose="020B0604020202020204" pitchFamily="34" charset="0"/>
            <a:buChar char="•"/>
            <a:tabLst/>
            <a:defRPr/>
          </a:pPr>
          <a:r>
            <a:rPr kumimoji="0" lang="en-US" sz="1100" b="0" i="0" u="none" strike="noStrike" kern="0" cap="none" spc="0" normalizeH="0" baseline="0" noProof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+mn-lt"/>
              <a:ea typeface="+mn-ea"/>
              <a:cs typeface="+mn-cs"/>
            </a:rPr>
            <a:t>The required quantity of bedding calculated for the animal manure deposited during confinement, develops a moisture content of the pack (on a wet weight basis) of </a:t>
          </a:r>
          <a:r>
            <a:rPr kumimoji="0" lang="en-US" sz="1100" b="0" i="0" u="sng" strike="noStrike" kern="0" cap="none" spc="0" normalizeH="0" baseline="0" noProof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+mn-lt"/>
              <a:ea typeface="+mn-ea"/>
              <a:cs typeface="+mn-cs"/>
            </a:rPr>
            <a:t>no more than 63% moisture content</a:t>
          </a:r>
          <a:r>
            <a:rPr kumimoji="0" lang="en-US" sz="1100" b="0" i="0" u="none" strike="noStrike" kern="0" cap="none" spc="0" normalizeH="0" baseline="0" noProof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+mn-lt"/>
              <a:ea typeface="+mn-ea"/>
              <a:cs typeface="+mn-cs"/>
            </a:rPr>
            <a:t>. </a:t>
          </a:r>
        </a:p>
        <a:p>
          <a:pPr marL="171450" marR="0" lvl="0" indent="-171450" defTabSz="914400" eaLnBrk="1" fontAlgn="auto" latinLnBrk="0" hangingPunct="1">
            <a:lnSpc>
              <a:spcPct val="100000"/>
            </a:lnSpc>
            <a:spcBef>
              <a:spcPts val="600"/>
            </a:spcBef>
            <a:spcAft>
              <a:spcPts val="0"/>
            </a:spcAft>
            <a:buClrTx/>
            <a:buSzTx/>
            <a:buFont typeface="Arial" panose="020B0604020202020204" pitchFamily="34" charset="0"/>
            <a:buChar char="•"/>
            <a:tabLst/>
            <a:defRPr/>
          </a:pPr>
          <a:r>
            <a:rPr kumimoji="0" lang="en-US" sz="1100" b="0" i="0" u="none" strike="noStrike" kern="0" cap="none" spc="0" normalizeH="0" baseline="0" noProof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+mn-lt"/>
              <a:ea typeface="+mn-ea"/>
              <a:cs typeface="+mn-cs"/>
            </a:rPr>
            <a:t>A planning recommendation  is to vary the types of bedding materials used over the confinement period.  Applying a varied </a:t>
          </a:r>
          <a:r>
            <a:rPr lang="en-US" sz="1100" b="0" i="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type and size of </a:t>
          </a:r>
          <a:r>
            <a:rPr kumimoji="0" lang="en-US" sz="1100" b="0" i="0" u="none" strike="noStrike" kern="0" cap="none" spc="0" normalizeH="0" baseline="0" noProof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+mn-lt"/>
              <a:ea typeface="+mn-ea"/>
              <a:cs typeface="+mn-cs"/>
            </a:rPr>
            <a:t>bedding material will develop a more stable bedded-pack for livestock footing and animal comfort. </a:t>
          </a:r>
        </a:p>
        <a:p>
          <a:endParaRPr lang="en-US" sz="1100"/>
        </a:p>
      </xdr:txBody>
    </xdr:sp>
    <xdr:clientData/>
  </xdr:twoCellAnchor>
  <xdr:twoCellAnchor editAs="oneCell">
    <xdr:from>
      <xdr:col>10</xdr:col>
      <xdr:colOff>444500</xdr:colOff>
      <xdr:row>2</xdr:row>
      <xdr:rowOff>101600</xdr:rowOff>
    </xdr:from>
    <xdr:to>
      <xdr:col>12</xdr:col>
      <xdr:colOff>330200</xdr:colOff>
      <xdr:row>5</xdr:row>
      <xdr:rowOff>12700</xdr:rowOff>
    </xdr:to>
    <xdr:sp macro="" textlink="">
      <xdr:nvSpPr>
        <xdr:cNvPr id="1025" name="CommandButton1" hidden="1">
          <a:extLst>
            <a:ext uri="{63B3BB69-23CF-44E3-9099-C40C66FF867C}">
              <a14:compatExt xmlns:a14="http://schemas.microsoft.com/office/drawing/2010/main" spid="_x0000_s1025"/>
            </a:ext>
            <a:ext uri="{FF2B5EF4-FFF2-40B4-BE49-F238E27FC236}">
              <a16:creationId xmlns:a16="http://schemas.microsoft.com/office/drawing/2014/main" id="{00000000-0008-0000-0000-00000104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14</xdr:col>
      <xdr:colOff>177800</xdr:colOff>
      <xdr:row>3</xdr:row>
      <xdr:rowOff>25400</xdr:rowOff>
    </xdr:from>
    <xdr:to>
      <xdr:col>16</xdr:col>
      <xdr:colOff>317500</xdr:colOff>
      <xdr:row>6</xdr:row>
      <xdr:rowOff>25400</xdr:rowOff>
    </xdr:to>
    <xdr:sp macro="" textlink="">
      <xdr:nvSpPr>
        <xdr:cNvPr id="1026" name="CommandButton2" hidden="1">
          <a:extLst>
            <a:ext uri="{63B3BB69-23CF-44E3-9099-C40C66FF867C}">
              <a14:compatExt xmlns:a14="http://schemas.microsoft.com/office/drawing/2010/main" spid="_x0000_s1026"/>
            </a:ext>
            <a:ext uri="{FF2B5EF4-FFF2-40B4-BE49-F238E27FC236}">
              <a16:creationId xmlns:a16="http://schemas.microsoft.com/office/drawing/2014/main" id="{00000000-0008-0000-0000-00000204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444500</xdr:colOff>
      <xdr:row>6</xdr:row>
      <xdr:rowOff>25400</xdr:rowOff>
    </xdr:from>
    <xdr:to>
      <xdr:col>12</xdr:col>
      <xdr:colOff>330200</xdr:colOff>
      <xdr:row>8</xdr:row>
      <xdr:rowOff>63500</xdr:rowOff>
    </xdr:to>
    <xdr:sp macro="" textlink="">
      <xdr:nvSpPr>
        <xdr:cNvPr id="1028" name="CommandButton3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0404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444500</xdr:colOff>
      <xdr:row>2</xdr:row>
      <xdr:rowOff>101600</xdr:rowOff>
    </xdr:from>
    <xdr:to>
      <xdr:col>12</xdr:col>
      <xdr:colOff>330200</xdr:colOff>
      <xdr:row>5</xdr:row>
      <xdr:rowOff>12700</xdr:rowOff>
    </xdr:to>
    <xdr:pic>
      <xdr:nvPicPr>
        <xdr:cNvPr id="2" name="CommandButton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429500" y="482600"/>
          <a:ext cx="1282700" cy="4826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14</xdr:col>
      <xdr:colOff>177800</xdr:colOff>
      <xdr:row>3</xdr:row>
      <xdr:rowOff>25400</xdr:rowOff>
    </xdr:from>
    <xdr:to>
      <xdr:col>16</xdr:col>
      <xdr:colOff>317500</xdr:colOff>
      <xdr:row>6</xdr:row>
      <xdr:rowOff>25400</xdr:rowOff>
    </xdr:to>
    <xdr:pic>
      <xdr:nvPicPr>
        <xdr:cNvPr id="5" name="CommandButton2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956800" y="596900"/>
          <a:ext cx="1536700" cy="5715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10</xdr:col>
      <xdr:colOff>444500</xdr:colOff>
      <xdr:row>6</xdr:row>
      <xdr:rowOff>25400</xdr:rowOff>
    </xdr:from>
    <xdr:to>
      <xdr:col>12</xdr:col>
      <xdr:colOff>330200</xdr:colOff>
      <xdr:row>8</xdr:row>
      <xdr:rowOff>63500</xdr:rowOff>
    </xdr:to>
    <xdr:pic>
      <xdr:nvPicPr>
        <xdr:cNvPr id="6" name="CommandButton3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429500" y="1168400"/>
          <a:ext cx="1282700" cy="4699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400050</xdr:colOff>
      <xdr:row>21</xdr:row>
      <xdr:rowOff>38100</xdr:rowOff>
    </xdr:from>
    <xdr:to>
      <xdr:col>0</xdr:col>
      <xdr:colOff>581025</xdr:colOff>
      <xdr:row>21</xdr:row>
      <xdr:rowOff>152400</xdr:rowOff>
    </xdr:to>
    <xdr:sp macro="" textlink="">
      <xdr:nvSpPr>
        <xdr:cNvPr id="2" name="Right Arrow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/>
      </xdr:nvSpPr>
      <xdr:spPr>
        <a:xfrm>
          <a:off x="400050" y="4229100"/>
          <a:ext cx="180975" cy="114300"/>
        </a:xfrm>
        <a:prstGeom prst="righ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400050</xdr:colOff>
      <xdr:row>22</xdr:row>
      <xdr:rowOff>38100</xdr:rowOff>
    </xdr:from>
    <xdr:to>
      <xdr:col>0</xdr:col>
      <xdr:colOff>581025</xdr:colOff>
      <xdr:row>22</xdr:row>
      <xdr:rowOff>152400</xdr:rowOff>
    </xdr:to>
    <xdr:sp macro="" textlink="">
      <xdr:nvSpPr>
        <xdr:cNvPr id="3" name="Right Arrow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SpPr/>
      </xdr:nvSpPr>
      <xdr:spPr>
        <a:xfrm>
          <a:off x="400050" y="4419600"/>
          <a:ext cx="180975" cy="114300"/>
        </a:xfrm>
        <a:prstGeom prst="righ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409575</xdr:colOff>
      <xdr:row>23</xdr:row>
      <xdr:rowOff>47625</xdr:rowOff>
    </xdr:from>
    <xdr:to>
      <xdr:col>0</xdr:col>
      <xdr:colOff>590550</xdr:colOff>
      <xdr:row>23</xdr:row>
      <xdr:rowOff>161925</xdr:rowOff>
    </xdr:to>
    <xdr:sp macro="" textlink="">
      <xdr:nvSpPr>
        <xdr:cNvPr id="4" name="Right Arrow 3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SpPr/>
      </xdr:nvSpPr>
      <xdr:spPr>
        <a:xfrm>
          <a:off x="409575" y="4619625"/>
          <a:ext cx="180975" cy="114300"/>
        </a:xfrm>
        <a:prstGeom prst="righ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409575</xdr:colOff>
      <xdr:row>24</xdr:row>
      <xdr:rowOff>47625</xdr:rowOff>
    </xdr:from>
    <xdr:to>
      <xdr:col>0</xdr:col>
      <xdr:colOff>590550</xdr:colOff>
      <xdr:row>24</xdr:row>
      <xdr:rowOff>161925</xdr:rowOff>
    </xdr:to>
    <xdr:sp macro="" textlink="">
      <xdr:nvSpPr>
        <xdr:cNvPr id="5" name="Right Arrow 4">
          <a:extLst>
            <a:ext uri="{FF2B5EF4-FFF2-40B4-BE49-F238E27FC236}">
              <a16:creationId xmlns:a16="http://schemas.microsoft.com/office/drawing/2014/main" id="{00000000-0008-0000-0100-000005000000}"/>
            </a:ext>
          </a:extLst>
        </xdr:cNvPr>
        <xdr:cNvSpPr/>
      </xdr:nvSpPr>
      <xdr:spPr>
        <a:xfrm>
          <a:off x="409575" y="4810125"/>
          <a:ext cx="180975" cy="114300"/>
        </a:xfrm>
        <a:prstGeom prst="righ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409575</xdr:colOff>
      <xdr:row>28</xdr:row>
      <xdr:rowOff>66675</xdr:rowOff>
    </xdr:from>
    <xdr:to>
      <xdr:col>0</xdr:col>
      <xdr:colOff>590550</xdr:colOff>
      <xdr:row>28</xdr:row>
      <xdr:rowOff>180975</xdr:rowOff>
    </xdr:to>
    <xdr:sp macro="" textlink="">
      <xdr:nvSpPr>
        <xdr:cNvPr id="6" name="Right Arrow 5">
          <a:extLst>
            <a:ext uri="{FF2B5EF4-FFF2-40B4-BE49-F238E27FC236}">
              <a16:creationId xmlns:a16="http://schemas.microsoft.com/office/drawing/2014/main" id="{00000000-0008-0000-0100-000006000000}"/>
            </a:ext>
          </a:extLst>
        </xdr:cNvPr>
        <xdr:cNvSpPr/>
      </xdr:nvSpPr>
      <xdr:spPr>
        <a:xfrm>
          <a:off x="409575" y="5591175"/>
          <a:ext cx="180975" cy="114300"/>
        </a:xfrm>
        <a:prstGeom prst="righ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419100</xdr:colOff>
      <xdr:row>29</xdr:row>
      <xdr:rowOff>57150</xdr:rowOff>
    </xdr:from>
    <xdr:to>
      <xdr:col>0</xdr:col>
      <xdr:colOff>600075</xdr:colOff>
      <xdr:row>29</xdr:row>
      <xdr:rowOff>171450</xdr:rowOff>
    </xdr:to>
    <xdr:sp macro="" textlink="">
      <xdr:nvSpPr>
        <xdr:cNvPr id="7" name="Right Arrow 6">
          <a:extLst>
            <a:ext uri="{FF2B5EF4-FFF2-40B4-BE49-F238E27FC236}">
              <a16:creationId xmlns:a16="http://schemas.microsoft.com/office/drawing/2014/main" id="{00000000-0008-0000-0100-000007000000}"/>
            </a:ext>
          </a:extLst>
        </xdr:cNvPr>
        <xdr:cNvSpPr/>
      </xdr:nvSpPr>
      <xdr:spPr>
        <a:xfrm>
          <a:off x="419100" y="5772150"/>
          <a:ext cx="180975" cy="114300"/>
        </a:xfrm>
        <a:prstGeom prst="righ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409575</xdr:colOff>
      <xdr:row>30</xdr:row>
      <xdr:rowOff>66675</xdr:rowOff>
    </xdr:from>
    <xdr:to>
      <xdr:col>0</xdr:col>
      <xdr:colOff>590550</xdr:colOff>
      <xdr:row>30</xdr:row>
      <xdr:rowOff>180975</xdr:rowOff>
    </xdr:to>
    <xdr:sp macro="" textlink="">
      <xdr:nvSpPr>
        <xdr:cNvPr id="8" name="Right Arrow 7">
          <a:extLst>
            <a:ext uri="{FF2B5EF4-FFF2-40B4-BE49-F238E27FC236}">
              <a16:creationId xmlns:a16="http://schemas.microsoft.com/office/drawing/2014/main" id="{00000000-0008-0000-0100-000008000000}"/>
            </a:ext>
          </a:extLst>
        </xdr:cNvPr>
        <xdr:cNvSpPr/>
      </xdr:nvSpPr>
      <xdr:spPr>
        <a:xfrm>
          <a:off x="409575" y="5972175"/>
          <a:ext cx="180975" cy="114300"/>
        </a:xfrm>
        <a:prstGeom prst="righ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400050</xdr:colOff>
      <xdr:row>32</xdr:row>
      <xdr:rowOff>38100</xdr:rowOff>
    </xdr:from>
    <xdr:to>
      <xdr:col>0</xdr:col>
      <xdr:colOff>581025</xdr:colOff>
      <xdr:row>32</xdr:row>
      <xdr:rowOff>152400</xdr:rowOff>
    </xdr:to>
    <xdr:sp macro="" textlink="">
      <xdr:nvSpPr>
        <xdr:cNvPr id="9" name="Right Arrow 8">
          <a:extLst>
            <a:ext uri="{FF2B5EF4-FFF2-40B4-BE49-F238E27FC236}">
              <a16:creationId xmlns:a16="http://schemas.microsoft.com/office/drawing/2014/main" id="{00000000-0008-0000-0100-000009000000}"/>
            </a:ext>
          </a:extLst>
        </xdr:cNvPr>
        <xdr:cNvSpPr/>
      </xdr:nvSpPr>
      <xdr:spPr>
        <a:xfrm>
          <a:off x="400050" y="6324600"/>
          <a:ext cx="180975" cy="114300"/>
        </a:xfrm>
        <a:prstGeom prst="righ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400050</xdr:colOff>
      <xdr:row>32</xdr:row>
      <xdr:rowOff>38100</xdr:rowOff>
    </xdr:from>
    <xdr:to>
      <xdr:col>8</xdr:col>
      <xdr:colOff>581025</xdr:colOff>
      <xdr:row>32</xdr:row>
      <xdr:rowOff>152400</xdr:rowOff>
    </xdr:to>
    <xdr:sp macro="" textlink="">
      <xdr:nvSpPr>
        <xdr:cNvPr id="4" name="Right Arrow 3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SpPr/>
      </xdr:nvSpPr>
      <xdr:spPr>
        <a:xfrm>
          <a:off x="400050" y="4086225"/>
          <a:ext cx="180975" cy="114300"/>
        </a:xfrm>
        <a:prstGeom prst="righ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8</xdr:col>
      <xdr:colOff>400050</xdr:colOff>
      <xdr:row>33</xdr:row>
      <xdr:rowOff>38100</xdr:rowOff>
    </xdr:from>
    <xdr:to>
      <xdr:col>8</xdr:col>
      <xdr:colOff>581025</xdr:colOff>
      <xdr:row>33</xdr:row>
      <xdr:rowOff>152400</xdr:rowOff>
    </xdr:to>
    <xdr:sp macro="" textlink="">
      <xdr:nvSpPr>
        <xdr:cNvPr id="5" name="Right Arrow 4">
          <a:extLst>
            <a:ext uri="{FF2B5EF4-FFF2-40B4-BE49-F238E27FC236}">
              <a16:creationId xmlns:a16="http://schemas.microsoft.com/office/drawing/2014/main" id="{00000000-0008-0000-0200-000005000000}"/>
            </a:ext>
          </a:extLst>
        </xdr:cNvPr>
        <xdr:cNvSpPr/>
      </xdr:nvSpPr>
      <xdr:spPr>
        <a:xfrm>
          <a:off x="400050" y="4276725"/>
          <a:ext cx="180975" cy="114300"/>
        </a:xfrm>
        <a:prstGeom prst="righ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8</xdr:col>
      <xdr:colOff>409575</xdr:colOff>
      <xdr:row>36</xdr:row>
      <xdr:rowOff>66675</xdr:rowOff>
    </xdr:from>
    <xdr:to>
      <xdr:col>8</xdr:col>
      <xdr:colOff>590550</xdr:colOff>
      <xdr:row>36</xdr:row>
      <xdr:rowOff>180975</xdr:rowOff>
    </xdr:to>
    <xdr:sp macro="" textlink="">
      <xdr:nvSpPr>
        <xdr:cNvPr id="6" name="Right Arrow 5">
          <a:extLst>
            <a:ext uri="{FF2B5EF4-FFF2-40B4-BE49-F238E27FC236}">
              <a16:creationId xmlns:a16="http://schemas.microsoft.com/office/drawing/2014/main" id="{00000000-0008-0000-0200-000006000000}"/>
            </a:ext>
          </a:extLst>
        </xdr:cNvPr>
        <xdr:cNvSpPr/>
      </xdr:nvSpPr>
      <xdr:spPr>
        <a:xfrm>
          <a:off x="409575" y="5467350"/>
          <a:ext cx="180975" cy="114300"/>
        </a:xfrm>
        <a:prstGeom prst="righ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8</xdr:col>
      <xdr:colOff>419100</xdr:colOff>
      <xdr:row>37</xdr:row>
      <xdr:rowOff>57150</xdr:rowOff>
    </xdr:from>
    <xdr:to>
      <xdr:col>8</xdr:col>
      <xdr:colOff>600075</xdr:colOff>
      <xdr:row>37</xdr:row>
      <xdr:rowOff>171450</xdr:rowOff>
    </xdr:to>
    <xdr:sp macro="" textlink="">
      <xdr:nvSpPr>
        <xdr:cNvPr id="7" name="Right Arrow 6">
          <a:extLst>
            <a:ext uri="{FF2B5EF4-FFF2-40B4-BE49-F238E27FC236}">
              <a16:creationId xmlns:a16="http://schemas.microsoft.com/office/drawing/2014/main" id="{00000000-0008-0000-0200-000007000000}"/>
            </a:ext>
          </a:extLst>
        </xdr:cNvPr>
        <xdr:cNvSpPr/>
      </xdr:nvSpPr>
      <xdr:spPr>
        <a:xfrm>
          <a:off x="419100" y="5648325"/>
          <a:ext cx="180975" cy="114300"/>
        </a:xfrm>
        <a:prstGeom prst="righ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133350</xdr:colOff>
      <xdr:row>4</xdr:row>
      <xdr:rowOff>76199</xdr:rowOff>
    </xdr:from>
    <xdr:to>
      <xdr:col>7</xdr:col>
      <xdr:colOff>180975</xdr:colOff>
      <xdr:row>16</xdr:row>
      <xdr:rowOff>91882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350" y="847724"/>
          <a:ext cx="5543550" cy="2301683"/>
        </a:xfrm>
        <a:prstGeom prst="rect">
          <a:avLst/>
        </a:prstGeom>
        <a:noFill/>
        <a:ln w="28575">
          <a:solidFill>
            <a:schemeClr val="tx1"/>
          </a:solidFill>
        </a:ln>
      </xdr:spPr>
    </xdr:pic>
    <xdr:clientData/>
  </xdr:twoCellAnchor>
  <xdr:twoCellAnchor editAs="oneCell">
    <xdr:from>
      <xdr:col>9</xdr:col>
      <xdr:colOff>190501</xdr:colOff>
      <xdr:row>12</xdr:row>
      <xdr:rowOff>38100</xdr:rowOff>
    </xdr:from>
    <xdr:to>
      <xdr:col>12</xdr:col>
      <xdr:colOff>142876</xdr:colOff>
      <xdr:row>22</xdr:row>
      <xdr:rowOff>60323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00000000-0008-0000-04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00876" y="2333625"/>
          <a:ext cx="2305050" cy="1936748"/>
        </a:xfrm>
        <a:prstGeom prst="rect">
          <a:avLst/>
        </a:prstGeom>
        <a:ln w="19050">
          <a:solidFill>
            <a:sysClr val="windowText" lastClr="000000"/>
          </a:solidFill>
        </a:ln>
      </xdr:spPr>
    </xdr:pic>
    <xdr:clientData/>
  </xdr:twoCellAnchor>
  <xdr:twoCellAnchor editAs="oneCell">
    <xdr:from>
      <xdr:col>0</xdr:col>
      <xdr:colOff>76199</xdr:colOff>
      <xdr:row>54</xdr:row>
      <xdr:rowOff>76200</xdr:rowOff>
    </xdr:from>
    <xdr:to>
      <xdr:col>6</xdr:col>
      <xdr:colOff>361950</xdr:colOff>
      <xdr:row>56</xdr:row>
      <xdr:rowOff>142875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00000000-0008-0000-04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76199" y="10629900"/>
          <a:ext cx="5172076" cy="447675"/>
        </a:xfrm>
        <a:prstGeom prst="rect">
          <a:avLst/>
        </a:prstGeom>
        <a:ln w="19050">
          <a:solidFill>
            <a:schemeClr val="tx1"/>
          </a:solidFill>
        </a:ln>
      </xdr:spPr>
    </xdr:pic>
    <xdr:clientData/>
  </xdr:twoCellAnchor>
  <xdr:twoCellAnchor editAs="oneCell">
    <xdr:from>
      <xdr:col>0</xdr:col>
      <xdr:colOff>76200</xdr:colOff>
      <xdr:row>57</xdr:row>
      <xdr:rowOff>95250</xdr:rowOff>
    </xdr:from>
    <xdr:to>
      <xdr:col>6</xdr:col>
      <xdr:colOff>352425</xdr:colOff>
      <xdr:row>63</xdr:row>
      <xdr:rowOff>85725</xdr:rowOff>
    </xdr:to>
    <xdr:pic>
      <xdr:nvPicPr>
        <xdr:cNvPr id="7" name="Picture 6">
          <a:extLst>
            <a:ext uri="{FF2B5EF4-FFF2-40B4-BE49-F238E27FC236}">
              <a16:creationId xmlns:a16="http://schemas.microsoft.com/office/drawing/2014/main" id="{00000000-0008-0000-04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76200" y="11220450"/>
          <a:ext cx="5162550" cy="1133475"/>
        </a:xfrm>
        <a:prstGeom prst="rect">
          <a:avLst/>
        </a:prstGeom>
        <a:ln w="19050">
          <a:solidFill>
            <a:schemeClr val="tx1"/>
          </a:solidFill>
        </a:ln>
      </xdr:spPr>
    </xdr:pic>
    <xdr:clientData/>
  </xdr:twoCellAnchor>
  <xdr:twoCellAnchor editAs="oneCell">
    <xdr:from>
      <xdr:col>8</xdr:col>
      <xdr:colOff>104775</xdr:colOff>
      <xdr:row>5</xdr:row>
      <xdr:rowOff>57151</xdr:rowOff>
    </xdr:from>
    <xdr:to>
      <xdr:col>13</xdr:col>
      <xdr:colOff>504825</xdr:colOff>
      <xdr:row>11</xdr:row>
      <xdr:rowOff>94460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00000000-0008-0000-0400-000006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5"/>
        <a:srcRect t="8485" b="6656"/>
        <a:stretch/>
      </xdr:blipFill>
      <xdr:spPr>
        <a:xfrm>
          <a:off x="6172200" y="1019176"/>
          <a:ext cx="4105275" cy="1180309"/>
        </a:xfrm>
        <a:prstGeom prst="rect">
          <a:avLst/>
        </a:prstGeom>
        <a:ln w="19050">
          <a:solidFill>
            <a:sysClr val="windowText" lastClr="000000"/>
          </a:solidFill>
        </a:ln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133350</xdr:colOff>
      <xdr:row>4</xdr:row>
      <xdr:rowOff>76199</xdr:rowOff>
    </xdr:from>
    <xdr:to>
      <xdr:col>7</xdr:col>
      <xdr:colOff>180975</xdr:colOff>
      <xdr:row>16</xdr:row>
      <xdr:rowOff>91882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350" y="847724"/>
          <a:ext cx="5543550" cy="2301683"/>
        </a:xfrm>
        <a:prstGeom prst="rect">
          <a:avLst/>
        </a:prstGeom>
        <a:noFill/>
        <a:ln w="28575">
          <a:solidFill>
            <a:schemeClr val="tx1"/>
          </a:solidFill>
        </a:ln>
      </xdr:spPr>
    </xdr:pic>
    <xdr:clientData/>
  </xdr:twoCellAnchor>
  <xdr:twoCellAnchor editAs="oneCell">
    <xdr:from>
      <xdr:col>8</xdr:col>
      <xdr:colOff>323851</xdr:colOff>
      <xdr:row>12</xdr:row>
      <xdr:rowOff>57150</xdr:rowOff>
    </xdr:from>
    <xdr:to>
      <xdr:col>11</xdr:col>
      <xdr:colOff>209551</xdr:colOff>
      <xdr:row>22</xdr:row>
      <xdr:rowOff>79373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00000000-0008-0000-06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391276" y="2352675"/>
          <a:ext cx="2305050" cy="1936748"/>
        </a:xfrm>
        <a:prstGeom prst="rect">
          <a:avLst/>
        </a:prstGeom>
        <a:ln w="19050">
          <a:solidFill>
            <a:sysClr val="windowText" lastClr="000000"/>
          </a:solidFill>
        </a:ln>
      </xdr:spPr>
    </xdr:pic>
    <xdr:clientData/>
  </xdr:twoCellAnchor>
  <xdr:twoCellAnchor editAs="oneCell">
    <xdr:from>
      <xdr:col>0</xdr:col>
      <xdr:colOff>76199</xdr:colOff>
      <xdr:row>54</xdr:row>
      <xdr:rowOff>76200</xdr:rowOff>
    </xdr:from>
    <xdr:to>
      <xdr:col>6</xdr:col>
      <xdr:colOff>361950</xdr:colOff>
      <xdr:row>56</xdr:row>
      <xdr:rowOff>142875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00000000-0008-0000-06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76199" y="10629900"/>
          <a:ext cx="5172076" cy="447675"/>
        </a:xfrm>
        <a:prstGeom prst="rect">
          <a:avLst/>
        </a:prstGeom>
        <a:ln w="19050">
          <a:solidFill>
            <a:schemeClr val="tx1"/>
          </a:solidFill>
        </a:ln>
      </xdr:spPr>
    </xdr:pic>
    <xdr:clientData/>
  </xdr:twoCellAnchor>
  <xdr:twoCellAnchor editAs="oneCell">
    <xdr:from>
      <xdr:col>0</xdr:col>
      <xdr:colOff>76200</xdr:colOff>
      <xdr:row>57</xdr:row>
      <xdr:rowOff>95250</xdr:rowOff>
    </xdr:from>
    <xdr:to>
      <xdr:col>6</xdr:col>
      <xdr:colOff>352425</xdr:colOff>
      <xdr:row>63</xdr:row>
      <xdr:rowOff>85725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00000000-0008-0000-06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76200" y="11220450"/>
          <a:ext cx="5162550" cy="1133475"/>
        </a:xfrm>
        <a:prstGeom prst="rect">
          <a:avLst/>
        </a:prstGeom>
        <a:ln w="19050">
          <a:solidFill>
            <a:schemeClr val="tx1"/>
          </a:solidFill>
        </a:ln>
      </xdr:spPr>
    </xdr:pic>
    <xdr:clientData/>
  </xdr:twoCellAnchor>
  <xdr:twoCellAnchor editAs="oneCell">
    <xdr:from>
      <xdr:col>8</xdr:col>
      <xdr:colOff>104775</xdr:colOff>
      <xdr:row>5</xdr:row>
      <xdr:rowOff>57151</xdr:rowOff>
    </xdr:from>
    <xdr:to>
      <xdr:col>13</xdr:col>
      <xdr:colOff>504825</xdr:colOff>
      <xdr:row>11</xdr:row>
      <xdr:rowOff>94460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00000000-0008-0000-0600-000006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5"/>
        <a:srcRect t="8485" b="6656"/>
        <a:stretch/>
      </xdr:blipFill>
      <xdr:spPr>
        <a:xfrm>
          <a:off x="6172200" y="1019176"/>
          <a:ext cx="4105275" cy="1180309"/>
        </a:xfrm>
        <a:prstGeom prst="rect">
          <a:avLst/>
        </a:prstGeom>
        <a:ln w="19050">
          <a:solidFill>
            <a:sysClr val="windowText" lastClr="000000"/>
          </a:solidFill>
        </a:ln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0</xdr:colOff>
      <xdr:row>0</xdr:row>
      <xdr:rowOff>19050</xdr:rowOff>
    </xdr:from>
    <xdr:to>
      <xdr:col>11</xdr:col>
      <xdr:colOff>609599</xdr:colOff>
      <xdr:row>5</xdr:row>
      <xdr:rowOff>9524</xdr:rowOff>
    </xdr:to>
    <xdr:pic>
      <xdr:nvPicPr>
        <xdr:cNvPr id="3" name="Picture 1071" descr="logo5USDA">
          <a:extLst>
            <a:ext uri="{FF2B5EF4-FFF2-40B4-BE49-F238E27FC236}">
              <a16:creationId xmlns:a16="http://schemas.microsoft.com/office/drawing/2014/main" id="{00000000-0008-0000-0700-000003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828800" y="19050"/>
          <a:ext cx="6048374" cy="942974"/>
        </a:xfrm>
        <a:prstGeom prst="rect">
          <a:avLst/>
        </a:prstGeom>
        <a:noFill/>
        <a:ln w="6350">
          <a:solidFill>
            <a:schemeClr val="tx1"/>
          </a:solidFill>
          <a:miter lim="800000"/>
          <a:headEnd/>
          <a:tailEnd/>
        </a:ln>
      </xdr:spPr>
    </xdr:pic>
    <xdr:clientData/>
  </xdr:twoCellAnchor>
  <xdr:twoCellAnchor editAs="absolute">
    <xdr:from>
      <xdr:col>2</xdr:col>
      <xdr:colOff>28575</xdr:colOff>
      <xdr:row>50</xdr:row>
      <xdr:rowOff>9525</xdr:rowOff>
    </xdr:from>
    <xdr:to>
      <xdr:col>13</xdr:col>
      <xdr:colOff>561975</xdr:colOff>
      <xdr:row>60</xdr:row>
      <xdr:rowOff>9525</xdr:rowOff>
    </xdr:to>
    <xdr:sp macro="" textlink="" fLocksText="0">
      <xdr:nvSpPr>
        <xdr:cNvPr id="4" name="TextBox 3" title="Planners Notes">
          <a:extLst>
            <a:ext uri="{FF2B5EF4-FFF2-40B4-BE49-F238E27FC236}">
              <a16:creationId xmlns:a16="http://schemas.microsoft.com/office/drawing/2014/main" id="{00000000-0008-0000-0700-000004000000}"/>
            </a:ext>
          </a:extLst>
        </xdr:cNvPr>
        <xdr:cNvSpPr txBox="1"/>
      </xdr:nvSpPr>
      <xdr:spPr>
        <a:xfrm>
          <a:off x="1247775" y="10125075"/>
          <a:ext cx="7858125" cy="1905000"/>
        </a:xfrm>
        <a:prstGeom prst="rect">
          <a:avLst/>
        </a:prstGeom>
        <a:ln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endParaRPr lang="en-US" sz="1100"/>
        </a:p>
      </xdr:txBody>
    </xdr:sp>
    <xdr:clientData fLocksWithSheet="0"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25400</xdr:colOff>
          <xdr:row>6</xdr:row>
          <xdr:rowOff>0</xdr:rowOff>
        </xdr:from>
        <xdr:to>
          <xdr:col>6</xdr:col>
          <xdr:colOff>368300</xdr:colOff>
          <xdr:row>8</xdr:row>
          <xdr:rowOff>0</xdr:rowOff>
        </xdr:to>
        <xdr:sp macro="" textlink="">
          <xdr:nvSpPr>
            <xdr:cNvPr id="10241" name="Button 1" hidden="1">
              <a:extLst>
                <a:ext uri="{63B3BB69-23CF-44E3-9099-C40C66FF867C}">
                  <a14:compatExt spid="_x0000_s10241"/>
                </a:ext>
                <a:ext uri="{FF2B5EF4-FFF2-40B4-BE49-F238E27FC236}">
                  <a16:creationId xmlns:a16="http://schemas.microsoft.com/office/drawing/2014/main" id="{00000000-0008-0000-0700-000001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1" i="1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Print File_Report</a:t>
              </a:r>
            </a:p>
          </xdr:txBody>
        </xdr:sp>
        <xdr:clientData fPrintsWithSheet="0"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97</xdr:row>
      <xdr:rowOff>0</xdr:rowOff>
    </xdr:from>
    <xdr:to>
      <xdr:col>2</xdr:col>
      <xdr:colOff>381000</xdr:colOff>
      <xdr:row>104</xdr:row>
      <xdr:rowOff>80567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18725029"/>
          <a:ext cx="3171265" cy="2176067"/>
        </a:xfrm>
        <a:prstGeom prst="rect">
          <a:avLst/>
        </a:prstGeom>
        <a:ln w="12700">
          <a:solidFill>
            <a:schemeClr val="tx1"/>
          </a:solidFill>
        </a:ln>
      </xdr:spPr>
    </xdr:pic>
    <xdr:clientData/>
  </xdr:twoCellAnchor>
  <xdr:twoCellAnchor editAs="oneCell">
    <xdr:from>
      <xdr:col>0</xdr:col>
      <xdr:colOff>0</xdr:colOff>
      <xdr:row>111</xdr:row>
      <xdr:rowOff>0</xdr:rowOff>
    </xdr:from>
    <xdr:to>
      <xdr:col>3</xdr:col>
      <xdr:colOff>784411</xdr:colOff>
      <xdr:row>123</xdr:row>
      <xdr:rowOff>168869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00000000-0008-0000-08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0" y="21392029"/>
          <a:ext cx="4247029" cy="3799575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5.bin"/><Relationship Id="rId4" Type="http://schemas.openxmlformats.org/officeDocument/2006/relationships/comments" Target="../comments1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6.bin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7.bin"/><Relationship Id="rId4" Type="http://schemas.openxmlformats.org/officeDocument/2006/relationships/comments" Target="../comments3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8.bin"/><Relationship Id="rId4" Type="http://schemas.openxmlformats.org/officeDocument/2006/relationships/ctrlProp" Target="../ctrlProps/ctrlProp1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9.bin"/><Relationship Id="rId2" Type="http://schemas.openxmlformats.org/officeDocument/2006/relationships/hyperlink" Target="https://www.ams.usda.gov/mnreports/am_gr310.txt" TargetMode="External"/><Relationship Id="rId1" Type="http://schemas.openxmlformats.org/officeDocument/2006/relationships/hyperlink" Target="https://extension.umd.edu/.../Copy%20of%20Revised%20Carbon%20to%20Nitrogen%20Ratio" TargetMode="External"/><Relationship Id="rId4" Type="http://schemas.openxmlformats.org/officeDocument/2006/relationships/drawing" Target="../drawings/drawing7.xm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2228773-396E-C342-A252-43CBCD7B7F97}">
  <dimension ref="A1:U77"/>
  <sheetViews>
    <sheetView tabSelected="1" zoomScale="88" workbookViewId="0">
      <selection activeCell="A31" sqref="A31"/>
    </sheetView>
  </sheetViews>
  <sheetFormatPr defaultColWidth="10.90625" defaultRowHeight="14.5" x14ac:dyDescent="0.35"/>
  <cols>
    <col min="1" max="1" width="22" customWidth="1"/>
    <col min="2" max="2" width="25.90625" customWidth="1"/>
    <col min="3" max="3" width="27.1796875" customWidth="1"/>
    <col min="4" max="4" width="27.26953125" customWidth="1"/>
    <col min="5" max="5" width="14" customWidth="1"/>
    <col min="6" max="6" width="11" customWidth="1"/>
    <col min="11" max="11" width="16.453125" customWidth="1"/>
  </cols>
  <sheetData>
    <row r="1" spans="1:21" x14ac:dyDescent="0.35">
      <c r="D1" s="141" t="s">
        <v>576</v>
      </c>
    </row>
    <row r="2" spans="1:21" x14ac:dyDescent="0.35">
      <c r="D2" s="630" t="s">
        <v>586</v>
      </c>
    </row>
    <row r="3" spans="1:21" x14ac:dyDescent="0.35">
      <c r="D3" s="141"/>
    </row>
    <row r="4" spans="1:21" ht="43.5" x14ac:dyDescent="0.35">
      <c r="A4" t="s">
        <v>552</v>
      </c>
      <c r="B4" t="s">
        <v>553</v>
      </c>
      <c r="C4" s="335" t="s">
        <v>585</v>
      </c>
      <c r="D4" s="624" t="s">
        <v>526</v>
      </c>
      <c r="E4" s="175"/>
      <c r="F4" s="175"/>
      <c r="G4" s="175"/>
      <c r="H4" s="175"/>
      <c r="I4" s="175"/>
      <c r="J4" s="175"/>
      <c r="K4" s="175"/>
    </row>
    <row r="5" spans="1:21" ht="43.5" x14ac:dyDescent="0.35">
      <c r="A5" t="s">
        <v>543</v>
      </c>
      <c r="B5" s="175"/>
      <c r="C5" s="335" t="s">
        <v>585</v>
      </c>
      <c r="D5" s="625" t="s">
        <v>527</v>
      </c>
      <c r="E5" s="358"/>
      <c r="F5" s="358"/>
      <c r="G5" s="358"/>
      <c r="H5" s="358"/>
      <c r="I5" s="358"/>
      <c r="J5" s="358"/>
      <c r="K5" s="358"/>
    </row>
    <row r="6" spans="1:21" x14ac:dyDescent="0.35">
      <c r="D6" s="626" t="s">
        <v>579</v>
      </c>
    </row>
    <row r="7" spans="1:21" x14ac:dyDescent="0.35">
      <c r="D7" s="626" t="s">
        <v>580</v>
      </c>
    </row>
    <row r="13" spans="1:21" ht="35" customHeight="1" x14ac:dyDescent="0.35">
      <c r="D13" s="357" t="s">
        <v>503</v>
      </c>
      <c r="E13" s="354"/>
      <c r="F13" s="354" t="s">
        <v>513</v>
      </c>
      <c r="G13" s="354" t="s">
        <v>510</v>
      </c>
      <c r="H13" s="354" t="s">
        <v>511</v>
      </c>
      <c r="I13" s="354" t="s">
        <v>512</v>
      </c>
      <c r="J13" s="355" t="s">
        <v>516</v>
      </c>
      <c r="K13" s="356" t="s">
        <v>517</v>
      </c>
      <c r="P13" t="s">
        <v>551</v>
      </c>
    </row>
    <row r="14" spans="1:21" x14ac:dyDescent="0.35">
      <c r="E14" s="354" t="s">
        <v>504</v>
      </c>
      <c r="F14" s="354" t="s">
        <v>514</v>
      </c>
      <c r="G14" s="354"/>
      <c r="H14" s="354"/>
      <c r="I14" s="354"/>
      <c r="J14" s="354"/>
      <c r="K14" s="354"/>
      <c r="P14" s="359"/>
      <c r="Q14" s="359"/>
      <c r="R14" s="359"/>
      <c r="S14" s="359"/>
      <c r="T14" s="359"/>
      <c r="U14" s="359"/>
    </row>
    <row r="15" spans="1:21" x14ac:dyDescent="0.35">
      <c r="E15" s="354" t="s">
        <v>505</v>
      </c>
      <c r="F15" s="354" t="s">
        <v>514</v>
      </c>
      <c r="G15" s="354"/>
      <c r="H15" s="354"/>
      <c r="I15" s="354"/>
      <c r="J15" s="354"/>
      <c r="K15" s="354"/>
      <c r="P15" s="359"/>
      <c r="Q15" s="359"/>
      <c r="R15" s="359"/>
      <c r="S15" s="359"/>
      <c r="T15" s="359"/>
      <c r="U15" s="359"/>
    </row>
    <row r="16" spans="1:21" x14ac:dyDescent="0.35">
      <c r="E16" s="354" t="s">
        <v>509</v>
      </c>
      <c r="F16" s="354" t="s">
        <v>514</v>
      </c>
      <c r="G16" s="354"/>
      <c r="H16" s="354"/>
      <c r="I16" s="354"/>
      <c r="J16" s="354"/>
      <c r="K16" s="354"/>
      <c r="P16" s="359"/>
      <c r="Q16" s="359"/>
      <c r="R16" s="359"/>
      <c r="S16" s="359"/>
      <c r="T16" s="359"/>
      <c r="U16" s="359"/>
    </row>
    <row r="17" spans="1:21" x14ac:dyDescent="0.35">
      <c r="E17" s="354" t="s">
        <v>506</v>
      </c>
      <c r="F17" s="354" t="s">
        <v>515</v>
      </c>
      <c r="G17" s="354"/>
      <c r="H17" s="354"/>
      <c r="I17" s="354"/>
      <c r="J17" s="354"/>
      <c r="K17" s="354"/>
      <c r="P17" s="359"/>
      <c r="Q17" s="359"/>
      <c r="R17" s="359"/>
      <c r="S17" s="359"/>
      <c r="T17" s="359"/>
      <c r="U17" s="359"/>
    </row>
    <row r="18" spans="1:21" x14ac:dyDescent="0.35">
      <c r="E18" s="354" t="s">
        <v>507</v>
      </c>
      <c r="F18" s="354" t="s">
        <v>515</v>
      </c>
      <c r="G18" s="354"/>
      <c r="H18" s="354"/>
      <c r="I18" s="354"/>
      <c r="J18" s="354"/>
      <c r="K18" s="354"/>
      <c r="P18" s="359"/>
      <c r="Q18" s="359"/>
      <c r="R18" s="359"/>
      <c r="S18" s="359"/>
      <c r="T18" s="359"/>
      <c r="U18" s="359"/>
    </row>
    <row r="19" spans="1:21" x14ac:dyDescent="0.35">
      <c r="E19" s="354" t="s">
        <v>508</v>
      </c>
      <c r="F19" s="354" t="s">
        <v>515</v>
      </c>
      <c r="G19" s="354"/>
      <c r="H19" s="354"/>
      <c r="I19" s="354"/>
      <c r="J19" s="354"/>
      <c r="K19" s="354"/>
      <c r="P19" s="359"/>
      <c r="Q19" s="359"/>
      <c r="R19" s="359"/>
      <c r="S19" s="359"/>
      <c r="T19" s="359"/>
      <c r="U19" s="359"/>
    </row>
    <row r="20" spans="1:21" x14ac:dyDescent="0.35">
      <c r="E20" s="363" t="s">
        <v>554</v>
      </c>
      <c r="F20" s="363" t="s">
        <v>515</v>
      </c>
      <c r="G20" s="354"/>
      <c r="H20" s="354"/>
      <c r="I20" s="354"/>
      <c r="J20" s="354"/>
      <c r="K20" s="354"/>
      <c r="P20" s="362"/>
      <c r="Q20" s="362"/>
      <c r="R20" s="362"/>
      <c r="S20" s="362"/>
      <c r="T20" s="362"/>
      <c r="U20" s="362"/>
    </row>
    <row r="21" spans="1:21" x14ac:dyDescent="0.35">
      <c r="E21" s="6"/>
      <c r="F21" s="6"/>
      <c r="G21" s="6"/>
      <c r="H21" s="6"/>
      <c r="I21" s="6"/>
      <c r="J21" s="6"/>
      <c r="K21" s="6"/>
      <c r="P21" s="362"/>
      <c r="Q21" s="362"/>
      <c r="R21" s="362"/>
      <c r="S21" s="362"/>
      <c r="T21" s="362"/>
      <c r="U21" s="362"/>
    </row>
    <row r="22" spans="1:21" x14ac:dyDescent="0.35">
      <c r="E22" s="6"/>
      <c r="F22" s="6"/>
      <c r="G22" s="6"/>
      <c r="H22" s="6"/>
      <c r="I22" s="6"/>
      <c r="J22" s="6"/>
      <c r="K22" s="6"/>
      <c r="P22" s="362"/>
      <c r="Q22" s="362"/>
      <c r="R22" s="362"/>
      <c r="S22" s="362"/>
      <c r="T22" s="362"/>
      <c r="U22" s="362"/>
    </row>
    <row r="23" spans="1:21" x14ac:dyDescent="0.35">
      <c r="E23" s="6"/>
      <c r="F23" s="6"/>
      <c r="G23" s="6"/>
      <c r="H23" s="6"/>
      <c r="I23" s="6"/>
      <c r="J23" s="6"/>
      <c r="K23" s="6"/>
      <c r="P23" s="362"/>
      <c r="Q23" s="362"/>
      <c r="R23" s="362"/>
      <c r="S23" s="362"/>
      <c r="T23" s="362"/>
      <c r="U23" s="362"/>
    </row>
    <row r="24" spans="1:21" x14ac:dyDescent="0.35">
      <c r="P24" s="362"/>
      <c r="Q24" s="362"/>
      <c r="R24" s="362"/>
      <c r="S24" s="362"/>
      <c r="T24" s="362"/>
      <c r="U24" s="362"/>
    </row>
    <row r="25" spans="1:21" ht="145.5" customHeight="1" x14ac:dyDescent="0.35">
      <c r="A25" s="631" t="s">
        <v>589</v>
      </c>
      <c r="B25" s="627" t="s">
        <v>582</v>
      </c>
      <c r="C25" s="627" t="s">
        <v>587</v>
      </c>
      <c r="D25" s="357" t="s">
        <v>577</v>
      </c>
      <c r="E25" s="355" t="s">
        <v>518</v>
      </c>
      <c r="F25" s="354" t="s">
        <v>519</v>
      </c>
      <c r="G25" s="354" t="s">
        <v>520</v>
      </c>
      <c r="H25" s="354" t="s">
        <v>521</v>
      </c>
      <c r="I25" s="355" t="s">
        <v>523</v>
      </c>
      <c r="J25" s="355" t="s">
        <v>522</v>
      </c>
      <c r="K25" s="356" t="s">
        <v>524</v>
      </c>
      <c r="P25" s="185"/>
      <c r="Q25" s="185"/>
      <c r="R25" s="185"/>
      <c r="S25" s="185"/>
      <c r="T25" s="185"/>
      <c r="U25" s="185"/>
    </row>
    <row r="26" spans="1:21" x14ac:dyDescent="0.35">
      <c r="E26" s="354"/>
      <c r="F26" s="354"/>
      <c r="G26" s="354"/>
      <c r="H26" s="354"/>
      <c r="I26" s="354"/>
      <c r="J26" s="354"/>
      <c r="K26" s="354"/>
    </row>
    <row r="27" spans="1:21" x14ac:dyDescent="0.35">
      <c r="E27" s="354"/>
      <c r="F27" s="354"/>
      <c r="G27" s="354"/>
      <c r="H27" s="354"/>
      <c r="I27" s="354"/>
      <c r="J27" s="354"/>
      <c r="K27" s="354"/>
    </row>
    <row r="28" spans="1:21" x14ac:dyDescent="0.35">
      <c r="E28" s="354"/>
      <c r="F28" s="354"/>
      <c r="G28" s="354"/>
      <c r="H28" s="354"/>
      <c r="I28" s="354"/>
      <c r="J28" s="354"/>
      <c r="K28" s="354"/>
    </row>
    <row r="29" spans="1:21" x14ac:dyDescent="0.35">
      <c r="E29" s="354"/>
      <c r="F29" s="354"/>
      <c r="G29" s="354"/>
      <c r="H29" s="354"/>
      <c r="I29" s="354"/>
      <c r="J29" s="354"/>
      <c r="K29" s="354"/>
    </row>
    <row r="30" spans="1:21" x14ac:dyDescent="0.35">
      <c r="E30" s="354"/>
      <c r="F30" s="354"/>
      <c r="G30" s="354"/>
      <c r="H30" s="354"/>
      <c r="I30" s="354"/>
      <c r="J30" s="354"/>
      <c r="K30" s="354"/>
    </row>
    <row r="31" spans="1:21" x14ac:dyDescent="0.35">
      <c r="E31" s="354"/>
      <c r="F31" s="354"/>
      <c r="G31" s="354"/>
      <c r="H31" s="354"/>
      <c r="I31" s="354"/>
      <c r="J31" s="354"/>
      <c r="K31" s="354"/>
    </row>
    <row r="34" spans="3:14" ht="43.5" x14ac:dyDescent="0.35">
      <c r="D34" s="357" t="s">
        <v>536</v>
      </c>
      <c r="E34" s="354"/>
      <c r="F34" s="355" t="s">
        <v>542</v>
      </c>
      <c r="G34" s="355" t="s">
        <v>537</v>
      </c>
      <c r="H34" s="355" t="s">
        <v>538</v>
      </c>
      <c r="I34" s="355" t="s">
        <v>539</v>
      </c>
      <c r="J34" s="355" t="s">
        <v>540</v>
      </c>
      <c r="K34" s="355" t="s">
        <v>544</v>
      </c>
      <c r="L34" s="355" t="s">
        <v>541</v>
      </c>
      <c r="M34" s="356" t="s">
        <v>545</v>
      </c>
      <c r="N34" s="356" t="s">
        <v>553</v>
      </c>
    </row>
    <row r="35" spans="3:14" ht="29" x14ac:dyDescent="0.35">
      <c r="E35" s="355" t="s">
        <v>555</v>
      </c>
      <c r="F35" s="354"/>
      <c r="G35" s="354"/>
      <c r="H35" s="354"/>
      <c r="I35" s="354"/>
      <c r="J35" s="354"/>
      <c r="K35" s="354"/>
      <c r="L35" s="354"/>
      <c r="M35" s="354"/>
      <c r="N35" s="354"/>
    </row>
    <row r="36" spans="3:14" x14ac:dyDescent="0.35">
      <c r="E36" s="628" t="s">
        <v>556</v>
      </c>
      <c r="F36" s="354"/>
      <c r="G36" s="354"/>
      <c r="H36" s="354"/>
      <c r="I36" s="354"/>
      <c r="J36" s="354"/>
      <c r="K36" s="354"/>
      <c r="L36" s="354"/>
      <c r="M36" s="354"/>
      <c r="N36" s="354"/>
    </row>
    <row r="37" spans="3:14" ht="188.5" x14ac:dyDescent="0.35">
      <c r="C37" s="631" t="s">
        <v>588</v>
      </c>
      <c r="D37" s="335" t="s">
        <v>584</v>
      </c>
      <c r="E37" s="628" t="s">
        <v>567</v>
      </c>
      <c r="F37" s="354"/>
      <c r="G37" s="354"/>
      <c r="H37" s="354"/>
      <c r="I37" s="354"/>
      <c r="J37" s="354"/>
      <c r="K37" s="354"/>
      <c r="L37" s="354"/>
      <c r="M37" s="354"/>
      <c r="N37" s="354"/>
    </row>
    <row r="38" spans="3:14" ht="72.5" x14ac:dyDescent="0.35">
      <c r="E38" s="628" t="s">
        <v>568</v>
      </c>
      <c r="F38" s="354"/>
      <c r="G38" s="354"/>
      <c r="H38" s="354"/>
      <c r="I38" s="354"/>
      <c r="J38" s="354"/>
      <c r="K38" s="354"/>
      <c r="L38" s="354"/>
      <c r="M38" s="354"/>
      <c r="N38" s="354"/>
    </row>
    <row r="39" spans="3:14" ht="72.5" x14ac:dyDescent="0.35">
      <c r="E39" s="355" t="s">
        <v>557</v>
      </c>
      <c r="F39" s="354"/>
      <c r="G39" s="354"/>
      <c r="H39" s="354"/>
      <c r="I39" s="354"/>
      <c r="J39" s="354"/>
      <c r="K39" s="354"/>
      <c r="L39" s="354"/>
      <c r="M39" s="354"/>
      <c r="N39" s="354"/>
    </row>
    <row r="40" spans="3:14" ht="72.5" x14ac:dyDescent="0.35">
      <c r="E40" s="355" t="s">
        <v>535</v>
      </c>
      <c r="F40" s="354"/>
      <c r="G40" s="354"/>
      <c r="H40" s="354"/>
      <c r="I40" s="354"/>
      <c r="J40" s="354"/>
      <c r="K40" s="354"/>
      <c r="L40" s="354"/>
      <c r="M40" s="354"/>
      <c r="N40" s="354"/>
    </row>
    <row r="43" spans="3:14" x14ac:dyDescent="0.35">
      <c r="D43" s="26" t="s">
        <v>575</v>
      </c>
    </row>
    <row r="44" spans="3:14" ht="29" x14ac:dyDescent="0.35">
      <c r="D44" s="360" t="s">
        <v>525</v>
      </c>
      <c r="E44" s="175"/>
      <c r="F44" s="175"/>
      <c r="G44" s="175"/>
      <c r="H44" s="175"/>
      <c r="I44" s="175"/>
      <c r="J44" s="175"/>
      <c r="K44" s="175"/>
      <c r="L44" s="175"/>
      <c r="M44" s="175"/>
    </row>
    <row r="45" spans="3:14" ht="58" x14ac:dyDescent="0.35">
      <c r="C45" s="629" t="s">
        <v>583</v>
      </c>
      <c r="D45" s="361" t="s">
        <v>558</v>
      </c>
      <c r="E45" s="358"/>
      <c r="F45" s="358"/>
      <c r="G45" s="358"/>
      <c r="H45" s="358"/>
      <c r="I45" s="358"/>
      <c r="J45" s="358"/>
      <c r="K45" s="358"/>
      <c r="L45" s="358"/>
      <c r="M45" s="358"/>
    </row>
    <row r="46" spans="3:14" ht="58" x14ac:dyDescent="0.35">
      <c r="D46" s="361" t="s">
        <v>581</v>
      </c>
      <c r="E46" s="358"/>
      <c r="F46" s="358"/>
      <c r="G46" s="358"/>
      <c r="H46" s="358"/>
      <c r="I46" s="358"/>
      <c r="J46" s="358"/>
      <c r="K46" s="358"/>
      <c r="L46" s="358"/>
      <c r="M46" s="358"/>
    </row>
    <row r="47" spans="3:14" ht="29" x14ac:dyDescent="0.35">
      <c r="D47" s="361" t="s">
        <v>532</v>
      </c>
      <c r="E47" s="358"/>
      <c r="F47" s="358"/>
      <c r="G47" s="358"/>
      <c r="H47" s="358"/>
      <c r="I47" s="358"/>
      <c r="J47" s="358"/>
      <c r="K47" s="358"/>
      <c r="L47" s="358"/>
      <c r="M47" s="358"/>
    </row>
    <row r="48" spans="3:14" ht="29" x14ac:dyDescent="0.35">
      <c r="D48" s="361" t="s">
        <v>578</v>
      </c>
      <c r="E48" s="358"/>
      <c r="F48" s="358"/>
      <c r="G48" s="358"/>
      <c r="H48" s="358"/>
      <c r="I48" s="358"/>
      <c r="J48" s="358"/>
      <c r="K48" s="358"/>
      <c r="L48" s="358"/>
      <c r="M48" s="358"/>
    </row>
    <row r="49" spans="4:13" ht="43.5" x14ac:dyDescent="0.35">
      <c r="D49" s="361" t="s">
        <v>559</v>
      </c>
      <c r="E49" s="358"/>
      <c r="F49" s="358"/>
      <c r="G49" s="358"/>
      <c r="H49" s="358"/>
      <c r="I49" s="358"/>
      <c r="J49" s="358"/>
      <c r="K49" s="358"/>
      <c r="L49" s="358"/>
      <c r="M49" s="358"/>
    </row>
    <row r="50" spans="4:13" ht="29" x14ac:dyDescent="0.35">
      <c r="D50" s="361" t="s">
        <v>546</v>
      </c>
      <c r="E50" s="358"/>
      <c r="F50" s="358"/>
      <c r="G50" s="358"/>
      <c r="H50" s="358"/>
      <c r="I50" s="358"/>
      <c r="J50" s="358"/>
      <c r="K50" s="358"/>
      <c r="L50" s="358"/>
      <c r="M50" s="358"/>
    </row>
    <row r="51" spans="4:13" x14ac:dyDescent="0.35">
      <c r="D51" s="361" t="s">
        <v>528</v>
      </c>
      <c r="E51" s="358"/>
      <c r="F51" s="358"/>
      <c r="G51" s="358"/>
      <c r="H51" s="358"/>
      <c r="I51" s="358"/>
      <c r="J51" s="358"/>
      <c r="K51" s="358"/>
      <c r="L51" s="358"/>
      <c r="M51" s="358"/>
    </row>
    <row r="52" spans="4:13" ht="29" x14ac:dyDescent="0.35">
      <c r="D52" s="360" t="s">
        <v>529</v>
      </c>
      <c r="E52" s="175"/>
      <c r="F52" s="175"/>
      <c r="G52" s="175"/>
      <c r="H52" s="175"/>
      <c r="I52" s="175"/>
      <c r="J52" s="175"/>
      <c r="K52" s="175"/>
      <c r="L52" s="175"/>
      <c r="M52" s="175"/>
    </row>
    <row r="53" spans="4:13" x14ac:dyDescent="0.35">
      <c r="D53" s="360" t="s">
        <v>570</v>
      </c>
      <c r="E53" s="175"/>
      <c r="F53" s="175"/>
      <c r="G53" s="175"/>
      <c r="H53" s="175"/>
      <c r="I53" s="175"/>
      <c r="J53" s="175"/>
      <c r="K53" s="175"/>
      <c r="L53" s="175"/>
      <c r="M53" s="175"/>
    </row>
    <row r="54" spans="4:13" x14ac:dyDescent="0.35">
      <c r="D54" s="360" t="s">
        <v>571</v>
      </c>
      <c r="E54" s="175"/>
      <c r="F54" s="175"/>
      <c r="G54" s="175"/>
      <c r="H54" s="175"/>
      <c r="I54" s="175"/>
      <c r="J54" s="175"/>
      <c r="K54" s="175"/>
      <c r="L54" s="175"/>
      <c r="M54" s="175"/>
    </row>
    <row r="55" spans="4:13" x14ac:dyDescent="0.35">
      <c r="D55" s="360" t="s">
        <v>572</v>
      </c>
      <c r="E55" s="175"/>
      <c r="F55" s="175"/>
      <c r="G55" s="175"/>
      <c r="H55" s="175"/>
      <c r="I55" s="175"/>
      <c r="J55" s="175"/>
      <c r="K55" s="175"/>
      <c r="L55" s="175"/>
      <c r="M55" s="175"/>
    </row>
    <row r="56" spans="4:13" x14ac:dyDescent="0.35">
      <c r="D56" s="624" t="s">
        <v>573</v>
      </c>
      <c r="E56" s="175"/>
      <c r="F56" s="175"/>
      <c r="G56" s="175"/>
      <c r="H56" s="175"/>
      <c r="I56" s="175"/>
      <c r="J56" s="175"/>
      <c r="K56" s="175"/>
      <c r="L56" s="175"/>
      <c r="M56" s="175"/>
    </row>
    <row r="57" spans="4:13" x14ac:dyDescent="0.35">
      <c r="D57" s="360"/>
      <c r="E57" s="175"/>
      <c r="F57" s="175"/>
      <c r="G57" s="175"/>
      <c r="H57" s="175"/>
      <c r="I57" s="175"/>
      <c r="J57" s="175"/>
      <c r="K57" s="175"/>
      <c r="L57" s="175"/>
      <c r="M57" s="175"/>
    </row>
    <row r="58" spans="4:13" ht="29" x14ac:dyDescent="0.35">
      <c r="D58" s="361" t="s">
        <v>530</v>
      </c>
      <c r="E58" s="358"/>
      <c r="F58" s="358"/>
      <c r="G58" s="358"/>
      <c r="H58" s="358"/>
      <c r="I58" s="358"/>
      <c r="J58" s="358"/>
      <c r="K58" s="358"/>
      <c r="L58" s="358"/>
      <c r="M58" s="358"/>
    </row>
    <row r="59" spans="4:13" x14ac:dyDescent="0.35">
      <c r="D59" s="361" t="s">
        <v>531</v>
      </c>
      <c r="E59" s="358"/>
      <c r="F59" s="358"/>
      <c r="G59" s="358"/>
      <c r="H59" s="358"/>
      <c r="I59" s="358"/>
      <c r="J59" s="358"/>
      <c r="K59" s="358"/>
      <c r="L59" s="358"/>
      <c r="M59" s="358"/>
    </row>
    <row r="60" spans="4:13" x14ac:dyDescent="0.35">
      <c r="D60" s="335"/>
    </row>
    <row r="61" spans="4:13" ht="29" x14ac:dyDescent="0.35">
      <c r="D61" s="360" t="s">
        <v>533</v>
      </c>
      <c r="E61" s="175"/>
      <c r="F61" s="175"/>
      <c r="G61" s="175"/>
      <c r="H61" s="175"/>
      <c r="I61" s="175"/>
      <c r="J61" s="175"/>
      <c r="K61" s="175"/>
      <c r="L61" s="175"/>
      <c r="M61" s="175"/>
    </row>
    <row r="62" spans="4:13" ht="29" x14ac:dyDescent="0.35">
      <c r="D62" s="360" t="s">
        <v>547</v>
      </c>
      <c r="E62" s="175"/>
      <c r="F62" s="175"/>
      <c r="G62" s="175"/>
      <c r="H62" s="175"/>
      <c r="I62" s="175"/>
      <c r="J62" s="175"/>
      <c r="K62" s="175"/>
      <c r="L62" s="175"/>
      <c r="M62" s="175"/>
    </row>
    <row r="63" spans="4:13" ht="43.5" x14ac:dyDescent="0.35">
      <c r="D63" s="360" t="s">
        <v>548</v>
      </c>
      <c r="E63" s="175"/>
      <c r="F63" s="175"/>
      <c r="G63" s="175"/>
      <c r="H63" s="175"/>
      <c r="I63" s="175"/>
      <c r="J63" s="175"/>
      <c r="K63" s="175"/>
      <c r="L63" s="175"/>
      <c r="M63" s="175"/>
    </row>
    <row r="64" spans="4:13" ht="72.5" x14ac:dyDescent="0.35">
      <c r="D64" s="360" t="s">
        <v>534</v>
      </c>
      <c r="E64" s="175"/>
      <c r="F64" s="175"/>
      <c r="G64" s="175"/>
      <c r="H64" s="175"/>
      <c r="I64" s="175"/>
      <c r="J64" s="175"/>
      <c r="K64" s="175"/>
      <c r="L64" s="175"/>
      <c r="M64" s="175"/>
    </row>
    <row r="65" spans="4:13" x14ac:dyDescent="0.35">
      <c r="D65" s="335"/>
    </row>
    <row r="66" spans="4:13" ht="72.5" x14ac:dyDescent="0.35">
      <c r="D66" s="360" t="s">
        <v>560</v>
      </c>
      <c r="E66" s="175"/>
      <c r="F66" s="175"/>
      <c r="G66" s="175"/>
      <c r="H66" s="175"/>
      <c r="I66" s="175"/>
      <c r="J66" s="175"/>
      <c r="K66" s="175"/>
      <c r="L66" s="175"/>
      <c r="M66" s="175"/>
    </row>
    <row r="67" spans="4:13" ht="58" x14ac:dyDescent="0.35">
      <c r="D67" s="335" t="s">
        <v>561</v>
      </c>
    </row>
    <row r="68" spans="4:13" x14ac:dyDescent="0.35">
      <c r="D68" s="175" t="s">
        <v>549</v>
      </c>
      <c r="E68" s="175"/>
      <c r="F68" s="175"/>
      <c r="G68" s="175"/>
      <c r="H68" s="175"/>
      <c r="I68" s="175"/>
      <c r="J68" s="175"/>
      <c r="K68" s="175"/>
      <c r="L68" s="175"/>
      <c r="M68" s="175"/>
    </row>
    <row r="69" spans="4:13" x14ac:dyDescent="0.35">
      <c r="D69" s="335"/>
    </row>
    <row r="70" spans="4:13" ht="29" x14ac:dyDescent="0.35">
      <c r="D70" s="624" t="s">
        <v>550</v>
      </c>
      <c r="E70" s="175"/>
      <c r="F70" s="175"/>
      <c r="G70" s="175"/>
      <c r="H70" s="175"/>
      <c r="I70" s="175"/>
      <c r="J70" s="175"/>
      <c r="K70" s="175"/>
      <c r="L70" s="175"/>
      <c r="M70" s="175"/>
    </row>
    <row r="71" spans="4:13" ht="43.5" x14ac:dyDescent="0.35">
      <c r="D71" s="364" t="s">
        <v>562</v>
      </c>
      <c r="E71" s="358"/>
      <c r="F71" s="358"/>
      <c r="G71" s="358"/>
      <c r="H71" s="358"/>
      <c r="I71" s="358"/>
      <c r="J71" s="358"/>
      <c r="K71" s="358"/>
      <c r="L71" s="358"/>
      <c r="M71" s="358"/>
    </row>
    <row r="72" spans="4:13" ht="101.5" x14ac:dyDescent="0.35">
      <c r="D72" s="364" t="s">
        <v>566</v>
      </c>
      <c r="E72" s="358"/>
      <c r="F72" s="358"/>
      <c r="G72" s="358"/>
      <c r="H72" s="358"/>
      <c r="I72" s="358"/>
      <c r="J72" s="358"/>
      <c r="K72" s="358"/>
      <c r="L72" s="358"/>
      <c r="M72" s="358"/>
    </row>
    <row r="73" spans="4:13" ht="58" x14ac:dyDescent="0.35">
      <c r="D73" s="364" t="s">
        <v>569</v>
      </c>
      <c r="E73" s="358"/>
      <c r="F73" s="358"/>
      <c r="G73" s="358"/>
      <c r="H73" s="358"/>
      <c r="I73" s="358"/>
      <c r="J73" s="358"/>
      <c r="K73" s="358"/>
      <c r="L73" s="358"/>
      <c r="M73" s="358"/>
    </row>
    <row r="74" spans="4:13" x14ac:dyDescent="0.35">
      <c r="D74" s="364" t="s">
        <v>563</v>
      </c>
      <c r="E74" s="358"/>
      <c r="F74" s="358"/>
      <c r="G74" s="358"/>
      <c r="H74" s="358"/>
      <c r="I74" s="358"/>
      <c r="J74" s="358"/>
      <c r="K74" s="358"/>
      <c r="L74" s="358"/>
      <c r="M74" s="358"/>
    </row>
    <row r="75" spans="4:13" ht="29" x14ac:dyDescent="0.35">
      <c r="D75" s="364" t="s">
        <v>564</v>
      </c>
      <c r="E75" s="358"/>
      <c r="F75" s="358"/>
      <c r="G75" s="358"/>
      <c r="H75" s="358"/>
      <c r="I75" s="358"/>
      <c r="J75" s="358"/>
      <c r="K75" s="358"/>
      <c r="L75" s="358"/>
      <c r="M75" s="358"/>
    </row>
    <row r="76" spans="4:13" ht="43.5" x14ac:dyDescent="0.35">
      <c r="D76" s="364" t="s">
        <v>574</v>
      </c>
      <c r="E76" s="358"/>
      <c r="F76" s="358"/>
      <c r="G76" s="358"/>
      <c r="H76" s="358"/>
      <c r="I76" s="358"/>
      <c r="J76" s="358"/>
      <c r="K76" s="358"/>
      <c r="L76" s="358"/>
      <c r="M76" s="358"/>
    </row>
    <row r="77" spans="4:13" ht="58" x14ac:dyDescent="0.35">
      <c r="D77" s="364" t="s">
        <v>565</v>
      </c>
      <c r="E77" s="358"/>
      <c r="F77" s="358"/>
      <c r="G77" s="358"/>
      <c r="H77" s="358"/>
      <c r="I77" s="358"/>
      <c r="J77" s="358"/>
      <c r="K77" s="358"/>
      <c r="L77" s="358"/>
      <c r="M77" s="358"/>
    </row>
  </sheetData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tabColor rgb="FFFFFF00"/>
  </sheetPr>
  <dimension ref="A1:U29"/>
  <sheetViews>
    <sheetView topLeftCell="A10" zoomScaleNormal="100" workbookViewId="0">
      <selection activeCell="L4" sqref="L4"/>
    </sheetView>
  </sheetViews>
  <sheetFormatPr defaultColWidth="9.1796875" defaultRowHeight="14.5" x14ac:dyDescent="0.35"/>
  <cols>
    <col min="1" max="16384" width="9.1796875" style="39"/>
  </cols>
  <sheetData>
    <row r="1" spans="1:21" x14ac:dyDescent="0.35">
      <c r="A1" s="40"/>
      <c r="B1" s="41"/>
      <c r="C1" s="41"/>
      <c r="D1" s="41"/>
      <c r="E1" s="41"/>
      <c r="F1" s="41"/>
      <c r="G1" s="41"/>
      <c r="H1" s="41"/>
      <c r="I1" s="41"/>
      <c r="J1" s="41"/>
      <c r="K1" s="41"/>
      <c r="L1" s="41"/>
      <c r="M1" s="41"/>
      <c r="N1" s="41"/>
      <c r="O1" s="41"/>
      <c r="P1" s="41"/>
      <c r="Q1" s="41"/>
      <c r="R1" s="41"/>
      <c r="S1" s="42"/>
      <c r="T1" s="44"/>
      <c r="U1" s="44"/>
    </row>
    <row r="2" spans="1:21" x14ac:dyDescent="0.35">
      <c r="A2" s="43"/>
      <c r="B2" s="44"/>
      <c r="C2" s="44"/>
      <c r="D2" s="44"/>
      <c r="E2" s="44"/>
      <c r="F2" s="44"/>
      <c r="G2" s="44"/>
      <c r="H2" s="44"/>
      <c r="I2" s="44"/>
      <c r="J2" s="44"/>
      <c r="K2" s="44"/>
      <c r="L2" s="44"/>
      <c r="M2" s="44"/>
      <c r="N2" s="44"/>
      <c r="O2" s="44"/>
      <c r="P2" s="44"/>
      <c r="Q2" s="44"/>
      <c r="R2" s="44"/>
      <c r="S2" s="45"/>
      <c r="T2" s="44"/>
      <c r="U2" s="44"/>
    </row>
    <row r="3" spans="1:21" x14ac:dyDescent="0.35">
      <c r="A3" s="43"/>
      <c r="B3" s="44"/>
      <c r="C3" s="44"/>
      <c r="D3" s="44"/>
      <c r="E3" s="44"/>
      <c r="F3" s="44"/>
      <c r="G3" s="44"/>
      <c r="H3" s="44"/>
      <c r="I3" s="44"/>
      <c r="J3" s="44"/>
      <c r="K3" s="44"/>
      <c r="L3" s="44"/>
      <c r="M3" s="44"/>
      <c r="N3" s="44"/>
      <c r="O3" s="44"/>
      <c r="P3" s="44"/>
      <c r="Q3" s="44"/>
      <c r="R3" s="44"/>
      <c r="S3" s="45"/>
      <c r="T3" s="44"/>
      <c r="U3" s="44"/>
    </row>
    <row r="4" spans="1:21" x14ac:dyDescent="0.35">
      <c r="A4" s="43"/>
      <c r="B4" s="44"/>
      <c r="C4" s="44"/>
      <c r="D4" s="44"/>
      <c r="E4" s="44"/>
      <c r="F4" s="44"/>
      <c r="G4" s="44"/>
      <c r="H4" s="44"/>
      <c r="I4" s="44"/>
      <c r="J4" s="44"/>
      <c r="K4" s="44"/>
      <c r="L4" s="44"/>
      <c r="M4" s="44"/>
      <c r="N4" s="44"/>
      <c r="O4" s="44"/>
      <c r="P4" s="44"/>
      <c r="Q4" s="44"/>
      <c r="R4" s="44"/>
      <c r="S4" s="45"/>
      <c r="T4" s="44"/>
      <c r="U4" s="44"/>
    </row>
    <row r="5" spans="1:21" x14ac:dyDescent="0.35">
      <c r="A5" s="43"/>
      <c r="B5" s="44"/>
      <c r="C5" s="44"/>
      <c r="D5" s="44"/>
      <c r="E5" s="44"/>
      <c r="F5" s="44"/>
      <c r="G5" s="44"/>
      <c r="H5" s="44"/>
      <c r="I5" s="44"/>
      <c r="J5" s="44"/>
      <c r="K5" s="44"/>
      <c r="L5" s="44"/>
      <c r="M5" s="44"/>
      <c r="N5" s="44"/>
      <c r="O5" s="44"/>
      <c r="P5" s="44"/>
      <c r="Q5" s="44"/>
      <c r="R5" s="44"/>
      <c r="S5" s="45"/>
      <c r="T5" s="44"/>
      <c r="U5" s="44"/>
    </row>
    <row r="6" spans="1:21" x14ac:dyDescent="0.35">
      <c r="A6" s="43"/>
      <c r="B6" s="44"/>
      <c r="C6" s="44"/>
      <c r="D6" s="44"/>
      <c r="E6" s="44"/>
      <c r="F6" s="44"/>
      <c r="G6" s="44"/>
      <c r="H6" s="44"/>
      <c r="I6" s="44"/>
      <c r="J6" s="44"/>
      <c r="K6" s="44"/>
      <c r="L6" s="44"/>
      <c r="M6" s="44"/>
      <c r="N6" s="44"/>
      <c r="O6" s="44"/>
      <c r="P6" s="44"/>
      <c r="Q6" s="44"/>
      <c r="R6" s="44"/>
      <c r="S6" s="45"/>
      <c r="T6" s="44"/>
      <c r="U6" s="44"/>
    </row>
    <row r="7" spans="1:21" x14ac:dyDescent="0.35">
      <c r="A7" s="43"/>
      <c r="B7" s="44"/>
      <c r="C7" s="44"/>
      <c r="D7" s="44"/>
      <c r="E7" s="44"/>
      <c r="F7" s="44"/>
      <c r="G7" s="44"/>
      <c r="H7" s="44"/>
      <c r="I7" s="44"/>
      <c r="J7" s="44"/>
      <c r="K7" s="44"/>
      <c r="L7" s="44"/>
      <c r="M7" s="44"/>
      <c r="N7" s="44"/>
      <c r="O7" s="44"/>
      <c r="P7" s="44"/>
      <c r="Q7" s="44"/>
      <c r="R7" s="44"/>
      <c r="S7" s="45"/>
      <c r="T7" s="44"/>
      <c r="U7" s="44"/>
    </row>
    <row r="8" spans="1:21" ht="18.5" x14ac:dyDescent="0.45">
      <c r="A8" s="43"/>
      <c r="B8" s="49" t="s">
        <v>50</v>
      </c>
      <c r="C8" s="44"/>
      <c r="D8" s="44"/>
      <c r="E8" s="44"/>
      <c r="F8" s="44"/>
      <c r="G8" s="44"/>
      <c r="H8" s="44"/>
      <c r="I8" s="44"/>
      <c r="J8" s="44"/>
      <c r="K8" s="44"/>
      <c r="L8" s="44"/>
      <c r="M8" s="44"/>
      <c r="N8" s="44"/>
      <c r="O8" s="44"/>
      <c r="P8" s="44"/>
      <c r="Q8" s="44"/>
      <c r="R8" s="44"/>
      <c r="S8" s="45"/>
      <c r="T8" s="44"/>
      <c r="U8" s="44"/>
    </row>
    <row r="9" spans="1:21" ht="18.5" x14ac:dyDescent="0.45">
      <c r="A9" s="43"/>
      <c r="B9" s="49" t="s">
        <v>51</v>
      </c>
      <c r="C9" s="44"/>
      <c r="D9" s="44"/>
      <c r="E9" s="44"/>
      <c r="F9" s="44"/>
      <c r="G9" s="44"/>
      <c r="H9" s="44"/>
      <c r="I9" s="44"/>
      <c r="J9" s="44"/>
      <c r="K9" s="44"/>
      <c r="L9" s="44"/>
      <c r="M9" s="44"/>
      <c r="N9" s="44"/>
      <c r="O9" s="44"/>
      <c r="P9" s="44"/>
      <c r="Q9" s="44"/>
      <c r="R9" s="44"/>
      <c r="S9" s="45"/>
      <c r="T9" s="44"/>
      <c r="U9" s="44"/>
    </row>
    <row r="10" spans="1:21" x14ac:dyDescent="0.35">
      <c r="A10" s="43"/>
      <c r="B10" s="44" t="s">
        <v>431</v>
      </c>
      <c r="C10" s="44"/>
      <c r="D10" s="44"/>
      <c r="E10" s="44"/>
      <c r="F10" s="44"/>
      <c r="G10" s="44"/>
      <c r="H10" s="44"/>
      <c r="I10" s="44"/>
      <c r="J10" s="44"/>
      <c r="K10" s="44"/>
      <c r="L10" s="44"/>
      <c r="M10" s="44"/>
      <c r="N10" s="44"/>
      <c r="O10" s="44"/>
      <c r="P10" s="44"/>
      <c r="Q10" s="44"/>
      <c r="R10" s="44"/>
      <c r="S10" s="45"/>
      <c r="T10" s="44"/>
      <c r="U10" s="44"/>
    </row>
    <row r="11" spans="1:21" x14ac:dyDescent="0.35">
      <c r="A11" s="43"/>
      <c r="B11" s="44"/>
      <c r="C11" s="44"/>
      <c r="D11" s="44"/>
      <c r="E11" s="44"/>
      <c r="F11" s="44"/>
      <c r="G11" s="44"/>
      <c r="H11" s="44"/>
      <c r="I11" s="44"/>
      <c r="J11" s="44"/>
      <c r="K11" s="44"/>
      <c r="L11" s="44"/>
      <c r="M11" s="44"/>
      <c r="N11" s="44"/>
      <c r="O11" s="44"/>
      <c r="P11" s="44"/>
      <c r="Q11" s="44"/>
      <c r="R11" s="44"/>
      <c r="S11" s="45"/>
      <c r="T11" s="44"/>
      <c r="U11" s="44"/>
    </row>
    <row r="12" spans="1:21" x14ac:dyDescent="0.35">
      <c r="A12" s="43"/>
      <c r="B12" s="44" t="s">
        <v>242</v>
      </c>
      <c r="C12" s="44"/>
      <c r="D12" s="44"/>
      <c r="E12" s="44"/>
      <c r="F12" s="44"/>
      <c r="G12" s="44"/>
      <c r="H12" s="44"/>
      <c r="I12" s="44"/>
      <c r="J12" s="44"/>
      <c r="K12" s="44"/>
      <c r="L12" s="44"/>
      <c r="M12" s="44"/>
      <c r="N12" s="44"/>
      <c r="O12" s="44"/>
      <c r="P12" s="44"/>
      <c r="Q12" s="44"/>
      <c r="R12" s="44"/>
      <c r="S12" s="45"/>
      <c r="T12" s="44"/>
      <c r="U12" s="44"/>
    </row>
    <row r="13" spans="1:21" x14ac:dyDescent="0.35">
      <c r="A13" s="43"/>
      <c r="B13" s="44"/>
      <c r="C13" s="44"/>
      <c r="D13" s="44"/>
      <c r="E13" s="44"/>
      <c r="F13" s="44"/>
      <c r="G13" s="44"/>
      <c r="H13" s="44"/>
      <c r="I13" s="44"/>
      <c r="J13" s="44"/>
      <c r="K13" s="44"/>
      <c r="L13" s="44"/>
      <c r="M13" s="44"/>
      <c r="N13" s="44"/>
      <c r="O13" s="44"/>
      <c r="P13" s="44"/>
      <c r="Q13" s="44"/>
      <c r="R13" s="44"/>
      <c r="S13" s="45"/>
      <c r="T13" s="44"/>
      <c r="U13" s="44"/>
    </row>
    <row r="14" spans="1:21" x14ac:dyDescent="0.35">
      <c r="A14" s="43"/>
      <c r="B14" s="44"/>
      <c r="C14" s="44"/>
      <c r="D14" s="44"/>
      <c r="E14" s="44"/>
      <c r="F14" s="44"/>
      <c r="G14" s="44"/>
      <c r="H14" s="44"/>
      <c r="I14" s="44"/>
      <c r="J14" s="44"/>
      <c r="K14" s="44"/>
      <c r="L14" s="44"/>
      <c r="M14" s="44"/>
      <c r="N14" s="44"/>
      <c r="O14" s="44"/>
      <c r="P14" s="44"/>
      <c r="Q14" s="44"/>
      <c r="R14" s="44"/>
      <c r="S14" s="45"/>
      <c r="T14" s="44"/>
      <c r="U14" s="44"/>
    </row>
    <row r="15" spans="1:21" x14ac:dyDescent="0.35">
      <c r="A15" s="43"/>
      <c r="B15" s="44"/>
      <c r="C15" s="44"/>
      <c r="D15" s="44"/>
      <c r="E15" s="44"/>
      <c r="F15" s="44"/>
      <c r="G15" s="44"/>
      <c r="H15" s="44"/>
      <c r="I15" s="44"/>
      <c r="J15" s="44"/>
      <c r="K15" s="44"/>
      <c r="L15" s="44"/>
      <c r="M15" s="44"/>
      <c r="N15" s="44"/>
      <c r="O15" s="44"/>
      <c r="P15" s="44"/>
      <c r="Q15" s="44"/>
      <c r="R15" s="44"/>
      <c r="S15" s="45"/>
      <c r="T15" s="44"/>
      <c r="U15" s="44"/>
    </row>
    <row r="16" spans="1:21" x14ac:dyDescent="0.35">
      <c r="A16" s="43"/>
      <c r="B16" s="44"/>
      <c r="C16" s="44"/>
      <c r="D16" s="44"/>
      <c r="E16" s="44"/>
      <c r="F16" s="44"/>
      <c r="G16" s="44"/>
      <c r="H16" s="44"/>
      <c r="I16" s="44"/>
      <c r="J16" s="44"/>
      <c r="K16" s="44"/>
      <c r="L16" s="44"/>
      <c r="M16" s="44"/>
      <c r="N16" s="44"/>
      <c r="O16" s="44"/>
      <c r="P16" s="44"/>
      <c r="Q16" s="44"/>
      <c r="R16" s="44"/>
      <c r="S16" s="45"/>
      <c r="T16" s="44"/>
      <c r="U16" s="44"/>
    </row>
    <row r="17" spans="1:21" x14ac:dyDescent="0.35">
      <c r="A17" s="43"/>
      <c r="B17" s="44"/>
      <c r="C17" s="44"/>
      <c r="D17" s="44"/>
      <c r="E17" s="44"/>
      <c r="F17" s="44"/>
      <c r="G17" s="44"/>
      <c r="H17" s="44"/>
      <c r="I17" s="44"/>
      <c r="J17" s="44"/>
      <c r="K17" s="44"/>
      <c r="L17" s="44"/>
      <c r="M17" s="44"/>
      <c r="N17" s="44"/>
      <c r="O17" s="44"/>
      <c r="P17" s="44"/>
      <c r="Q17" s="44"/>
      <c r="R17" s="44"/>
      <c r="S17" s="45"/>
      <c r="T17" s="44"/>
      <c r="U17" s="44"/>
    </row>
    <row r="18" spans="1:21" x14ac:dyDescent="0.35">
      <c r="A18" s="43"/>
      <c r="B18" s="44"/>
      <c r="C18" s="44"/>
      <c r="D18" s="44"/>
      <c r="E18" s="44"/>
      <c r="F18" s="44"/>
      <c r="G18" s="44"/>
      <c r="H18" s="44"/>
      <c r="I18" s="44"/>
      <c r="J18" s="44"/>
      <c r="K18" s="44"/>
      <c r="L18" s="44"/>
      <c r="M18" s="44"/>
      <c r="N18" s="44"/>
      <c r="O18" s="44"/>
      <c r="P18" s="44"/>
      <c r="Q18" s="44"/>
      <c r="R18" s="44"/>
      <c r="S18" s="45"/>
      <c r="T18" s="44"/>
      <c r="U18" s="44"/>
    </row>
    <row r="19" spans="1:21" x14ac:dyDescent="0.35">
      <c r="A19" s="43"/>
      <c r="B19" s="44"/>
      <c r="C19" s="44"/>
      <c r="D19" s="44"/>
      <c r="E19" s="44"/>
      <c r="F19" s="44"/>
      <c r="G19" s="44"/>
      <c r="H19" s="44"/>
      <c r="I19" s="44"/>
      <c r="J19" s="44"/>
      <c r="K19" s="44"/>
      <c r="L19" s="44"/>
      <c r="M19" s="44"/>
      <c r="N19" s="44"/>
      <c r="O19" s="44"/>
      <c r="P19" s="44"/>
      <c r="Q19" s="44"/>
      <c r="R19" s="44"/>
      <c r="S19" s="45"/>
      <c r="T19" s="44"/>
      <c r="U19" s="44"/>
    </row>
    <row r="20" spans="1:21" x14ac:dyDescent="0.35">
      <c r="A20" s="43"/>
      <c r="B20" s="44"/>
      <c r="C20" s="44"/>
      <c r="D20" s="44"/>
      <c r="E20" s="44"/>
      <c r="F20" s="44"/>
      <c r="G20" s="44"/>
      <c r="H20" s="44"/>
      <c r="I20" s="44"/>
      <c r="J20" s="44"/>
      <c r="K20" s="44"/>
      <c r="L20" s="44"/>
      <c r="M20" s="44"/>
      <c r="N20" s="44"/>
      <c r="O20" s="44"/>
      <c r="P20" s="44"/>
      <c r="Q20" s="44"/>
      <c r="R20" s="44"/>
      <c r="S20" s="45"/>
      <c r="T20" s="44"/>
      <c r="U20" s="44"/>
    </row>
    <row r="21" spans="1:21" x14ac:dyDescent="0.35">
      <c r="A21" s="43"/>
      <c r="B21" s="44"/>
      <c r="C21" s="44"/>
      <c r="D21" s="44"/>
      <c r="E21" s="44"/>
      <c r="F21" s="44"/>
      <c r="G21" s="44"/>
      <c r="H21" s="44"/>
      <c r="I21" s="44"/>
      <c r="J21" s="44"/>
      <c r="K21" s="44"/>
      <c r="L21" s="44"/>
      <c r="M21" s="44"/>
      <c r="N21" s="44"/>
      <c r="O21" s="44"/>
      <c r="P21" s="44"/>
      <c r="Q21" s="44"/>
      <c r="R21" s="44"/>
      <c r="S21" s="45"/>
      <c r="T21" s="44"/>
      <c r="U21" s="44"/>
    </row>
    <row r="22" spans="1:21" ht="18.5" x14ac:dyDescent="0.45">
      <c r="A22" s="43"/>
      <c r="C22" s="49" t="s">
        <v>239</v>
      </c>
      <c r="D22" s="44"/>
      <c r="E22" s="44"/>
      <c r="F22" s="44"/>
      <c r="G22" s="44"/>
      <c r="H22" s="44"/>
      <c r="I22" s="44"/>
      <c r="J22" s="44"/>
      <c r="K22" s="44"/>
      <c r="L22" s="44"/>
      <c r="M22" s="44"/>
      <c r="N22" s="44"/>
      <c r="O22" s="44"/>
      <c r="P22" s="44"/>
      <c r="Q22" s="44"/>
      <c r="R22" s="44"/>
      <c r="S22" s="45"/>
      <c r="T22" s="44"/>
      <c r="U22" s="44"/>
    </row>
    <row r="23" spans="1:21" ht="18.5" x14ac:dyDescent="0.45">
      <c r="A23" s="43"/>
      <c r="C23" s="49"/>
      <c r="D23" s="44"/>
      <c r="E23" s="44"/>
      <c r="F23" s="44"/>
      <c r="G23" s="44"/>
      <c r="H23" s="44"/>
      <c r="I23" s="44"/>
      <c r="J23" s="44"/>
      <c r="K23" s="44"/>
      <c r="L23" s="44"/>
      <c r="M23" s="44"/>
      <c r="N23" s="44"/>
      <c r="O23" s="44"/>
      <c r="P23" s="44"/>
      <c r="Q23" s="44"/>
      <c r="R23" s="44"/>
      <c r="S23" s="45"/>
      <c r="T23" s="44"/>
      <c r="U23" s="44"/>
    </row>
    <row r="24" spans="1:21" ht="18.5" x14ac:dyDescent="0.45">
      <c r="A24" s="43"/>
      <c r="B24" s="44"/>
      <c r="C24" s="49" t="s">
        <v>256</v>
      </c>
      <c r="D24" s="44"/>
      <c r="E24" s="44"/>
      <c r="F24" s="44"/>
      <c r="G24" s="44"/>
      <c r="H24" s="44"/>
      <c r="I24" s="44"/>
      <c r="J24" s="44"/>
      <c r="K24" s="44"/>
      <c r="L24" s="44"/>
      <c r="M24" s="44"/>
      <c r="N24" s="44"/>
      <c r="O24" s="44"/>
      <c r="P24" s="44"/>
      <c r="Q24" s="44"/>
      <c r="R24" s="44"/>
      <c r="S24" s="45"/>
      <c r="T24" s="44"/>
      <c r="U24" s="44"/>
    </row>
    <row r="25" spans="1:21" x14ac:dyDescent="0.35">
      <c r="A25" s="43"/>
      <c r="B25" s="44"/>
      <c r="D25" s="44"/>
      <c r="E25" s="44"/>
      <c r="F25" s="44"/>
      <c r="G25" s="44"/>
      <c r="H25" s="44"/>
      <c r="I25" s="44"/>
      <c r="J25" s="44"/>
      <c r="K25" s="44"/>
      <c r="L25" s="44"/>
      <c r="M25" s="44"/>
      <c r="N25" s="44"/>
      <c r="O25" s="44"/>
      <c r="P25" s="44"/>
      <c r="Q25" s="44"/>
      <c r="R25" s="44"/>
      <c r="S25" s="45"/>
      <c r="T25" s="44"/>
      <c r="U25" s="44"/>
    </row>
    <row r="26" spans="1:21" ht="18.5" x14ac:dyDescent="0.45">
      <c r="A26" s="43"/>
      <c r="B26" s="168" t="s">
        <v>241</v>
      </c>
      <c r="C26" s="49" t="s">
        <v>240</v>
      </c>
      <c r="D26" s="44"/>
      <c r="E26" s="44"/>
      <c r="F26" s="44"/>
      <c r="G26" s="44"/>
      <c r="H26" s="44"/>
      <c r="I26" s="44"/>
      <c r="J26" s="44"/>
      <c r="K26" s="44"/>
      <c r="L26" s="44"/>
      <c r="M26" s="44"/>
      <c r="N26" s="44"/>
      <c r="O26" s="44"/>
      <c r="P26" s="44"/>
      <c r="Q26" s="44"/>
      <c r="R26" s="44"/>
      <c r="S26" s="45"/>
      <c r="T26" s="44"/>
      <c r="U26" s="44"/>
    </row>
    <row r="27" spans="1:21" x14ac:dyDescent="0.35">
      <c r="A27" s="43"/>
      <c r="B27" s="44"/>
      <c r="C27" s="44"/>
      <c r="D27" s="44"/>
      <c r="E27" s="44"/>
      <c r="F27" s="44"/>
      <c r="G27" s="44"/>
      <c r="H27" s="44"/>
      <c r="I27" s="44"/>
      <c r="J27" s="44"/>
      <c r="K27" s="44"/>
      <c r="L27" s="44"/>
      <c r="M27" s="44"/>
      <c r="N27" s="44"/>
      <c r="O27" s="44"/>
      <c r="P27" s="44"/>
      <c r="Q27" s="44"/>
      <c r="R27" s="44"/>
      <c r="S27" s="45"/>
      <c r="T27" s="44"/>
      <c r="U27" s="44"/>
    </row>
    <row r="28" spans="1:21" x14ac:dyDescent="0.35">
      <c r="A28" s="43"/>
      <c r="B28" s="44"/>
      <c r="C28" s="44"/>
      <c r="D28" s="44"/>
      <c r="E28" s="44"/>
      <c r="F28" s="44"/>
      <c r="G28" s="44"/>
      <c r="H28" s="44"/>
      <c r="I28" s="44"/>
      <c r="J28" s="44"/>
      <c r="K28" s="44"/>
      <c r="L28" s="44"/>
      <c r="M28" s="44"/>
      <c r="N28" s="44"/>
      <c r="O28" s="44"/>
      <c r="P28" s="44"/>
      <c r="Q28" s="44"/>
      <c r="R28" s="44"/>
      <c r="S28" s="45"/>
      <c r="T28" s="44"/>
      <c r="U28" s="44"/>
    </row>
    <row r="29" spans="1:21" ht="15" thickBot="1" x14ac:dyDescent="0.4">
      <c r="A29" s="46"/>
      <c r="B29" s="47"/>
      <c r="C29" s="47"/>
      <c r="D29" s="47"/>
      <c r="E29" s="47"/>
      <c r="F29" s="47"/>
      <c r="G29" s="47"/>
      <c r="H29" s="47"/>
      <c r="I29" s="47"/>
      <c r="J29" s="47"/>
      <c r="K29" s="47"/>
      <c r="L29" s="47"/>
      <c r="M29" s="47"/>
      <c r="N29" s="47"/>
      <c r="O29" s="47"/>
      <c r="P29" s="47"/>
      <c r="Q29" s="47"/>
      <c r="R29" s="47"/>
      <c r="S29" s="48"/>
      <c r="T29" s="44"/>
      <c r="U29" s="44"/>
    </row>
  </sheetData>
  <sheetProtection sheet="1" objects="1" scenarios="1"/>
  <pageMargins left="0.7" right="0.7" top="0.75" bottom="0.75" header="0.3" footer="0.3"/>
  <pageSetup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0">
    <tabColor rgb="FFFFFF00"/>
  </sheetPr>
  <dimension ref="A1:Q42"/>
  <sheetViews>
    <sheetView topLeftCell="A13" workbookViewId="0">
      <selection sqref="A1:G1"/>
    </sheetView>
  </sheetViews>
  <sheetFormatPr defaultColWidth="8.81640625" defaultRowHeight="14.5" x14ac:dyDescent="0.35"/>
  <sheetData>
    <row r="1" spans="1:17" x14ac:dyDescent="0.35">
      <c r="A1" s="371" t="s">
        <v>488</v>
      </c>
      <c r="B1" s="371"/>
      <c r="C1" s="371"/>
      <c r="D1" s="371"/>
      <c r="E1" s="371"/>
      <c r="F1" s="371"/>
      <c r="G1" s="371"/>
      <c r="I1" s="373" t="s">
        <v>404</v>
      </c>
      <c r="J1" s="374"/>
      <c r="K1" s="374"/>
      <c r="L1" s="374"/>
      <c r="M1" s="374"/>
      <c r="N1" s="374"/>
      <c r="O1" s="374"/>
      <c r="P1" s="374"/>
      <c r="Q1" s="375"/>
    </row>
    <row r="2" spans="1:17" x14ac:dyDescent="0.35">
      <c r="A2" s="371" t="s">
        <v>423</v>
      </c>
      <c r="B2" s="371"/>
      <c r="C2" s="371"/>
      <c r="D2" s="371"/>
      <c r="E2" s="371"/>
      <c r="F2" s="371"/>
      <c r="G2" s="371"/>
      <c r="I2" s="376" t="s">
        <v>405</v>
      </c>
      <c r="J2" s="377"/>
      <c r="K2" s="377"/>
      <c r="L2" s="377"/>
      <c r="M2" s="377"/>
      <c r="N2" s="377"/>
      <c r="O2" s="377"/>
      <c r="P2" s="377"/>
      <c r="Q2" s="378"/>
    </row>
    <row r="3" spans="1:17" x14ac:dyDescent="0.35">
      <c r="A3" s="372" t="s">
        <v>201</v>
      </c>
      <c r="B3" s="372"/>
      <c r="C3" s="372"/>
      <c r="D3" s="372"/>
      <c r="E3" s="372"/>
      <c r="F3" s="372"/>
      <c r="G3" s="372"/>
      <c r="I3" s="365" t="s">
        <v>252</v>
      </c>
      <c r="J3" s="366"/>
      <c r="K3" s="366"/>
      <c r="L3" s="366"/>
      <c r="M3" s="366"/>
      <c r="N3" s="366"/>
      <c r="O3" s="366"/>
      <c r="P3" s="366"/>
      <c r="Q3" s="367"/>
    </row>
    <row r="4" spans="1:17" ht="16" thickBot="1" x14ac:dyDescent="0.4">
      <c r="A4" s="78" t="s">
        <v>243</v>
      </c>
      <c r="I4" s="368" t="s">
        <v>226</v>
      </c>
      <c r="J4" s="369"/>
      <c r="K4" s="369"/>
      <c r="L4" s="369"/>
      <c r="M4" s="369"/>
      <c r="N4" s="369"/>
      <c r="O4" s="369"/>
      <c r="P4" s="369"/>
      <c r="Q4" s="370"/>
    </row>
    <row r="5" spans="1:17" x14ac:dyDescent="0.35">
      <c r="B5" s="26" t="s">
        <v>203</v>
      </c>
      <c r="C5" s="26"/>
      <c r="D5" s="26"/>
      <c r="E5" s="26"/>
      <c r="F5" s="26"/>
    </row>
    <row r="6" spans="1:17" x14ac:dyDescent="0.35">
      <c r="B6" s="166" t="s">
        <v>202</v>
      </c>
      <c r="C6" s="26"/>
      <c r="D6" s="26"/>
      <c r="E6" s="26"/>
      <c r="F6" s="26"/>
    </row>
    <row r="7" spans="1:17" x14ac:dyDescent="0.35">
      <c r="B7" s="26" t="s">
        <v>204</v>
      </c>
      <c r="C7" s="26"/>
      <c r="D7" s="26"/>
      <c r="E7" s="26"/>
      <c r="F7" s="26"/>
    </row>
    <row r="8" spans="1:17" x14ac:dyDescent="0.35">
      <c r="B8" s="166" t="s">
        <v>205</v>
      </c>
      <c r="C8" s="26"/>
      <c r="D8" s="26"/>
      <c r="E8" s="26"/>
      <c r="F8" s="26"/>
    </row>
    <row r="9" spans="1:17" ht="15.5" x14ac:dyDescent="0.35">
      <c r="A9" s="78" t="s">
        <v>242</v>
      </c>
      <c r="J9" s="26" t="s">
        <v>227</v>
      </c>
      <c r="L9" t="s">
        <v>228</v>
      </c>
    </row>
    <row r="10" spans="1:17" x14ac:dyDescent="0.35">
      <c r="A10" s="26" t="s">
        <v>151</v>
      </c>
      <c r="J10" s="26"/>
      <c r="L10" t="s">
        <v>244</v>
      </c>
    </row>
    <row r="11" spans="1:17" x14ac:dyDescent="0.35">
      <c r="B11" t="s">
        <v>206</v>
      </c>
      <c r="L11" t="s">
        <v>116</v>
      </c>
    </row>
    <row r="12" spans="1:17" x14ac:dyDescent="0.35">
      <c r="B12" s="165" t="s">
        <v>208</v>
      </c>
      <c r="L12" t="s">
        <v>229</v>
      </c>
    </row>
    <row r="13" spans="1:17" x14ac:dyDescent="0.35">
      <c r="B13" t="s">
        <v>207</v>
      </c>
      <c r="L13" t="s">
        <v>231</v>
      </c>
    </row>
    <row r="14" spans="1:17" x14ac:dyDescent="0.35">
      <c r="B14" s="165" t="s">
        <v>219</v>
      </c>
      <c r="L14" t="s">
        <v>230</v>
      </c>
    </row>
    <row r="15" spans="1:17" x14ac:dyDescent="0.35">
      <c r="B15" s="165" t="s">
        <v>209</v>
      </c>
      <c r="L15" t="s">
        <v>232</v>
      </c>
    </row>
    <row r="16" spans="1:17" x14ac:dyDescent="0.35">
      <c r="B16" t="s">
        <v>221</v>
      </c>
      <c r="L16" t="s">
        <v>233</v>
      </c>
    </row>
    <row r="17" spans="1:16" x14ac:dyDescent="0.35">
      <c r="B17" s="165" t="s">
        <v>220</v>
      </c>
      <c r="L17" t="s">
        <v>234</v>
      </c>
    </row>
    <row r="18" spans="1:16" x14ac:dyDescent="0.35">
      <c r="B18" t="s">
        <v>331</v>
      </c>
      <c r="L18" t="s">
        <v>235</v>
      </c>
    </row>
    <row r="19" spans="1:16" ht="15" thickBot="1" x14ac:dyDescent="0.4">
      <c r="B19" t="s">
        <v>211</v>
      </c>
    </row>
    <row r="20" spans="1:16" ht="15" thickTop="1" x14ac:dyDescent="0.35">
      <c r="J20" s="126" t="s">
        <v>236</v>
      </c>
      <c r="K20" s="156" t="s">
        <v>188</v>
      </c>
      <c r="L20" s="62"/>
      <c r="M20" s="151"/>
      <c r="N20" s="63"/>
    </row>
    <row r="21" spans="1:16" x14ac:dyDescent="0.35">
      <c r="A21" s="174" t="s">
        <v>247</v>
      </c>
      <c r="B21" s="175"/>
      <c r="C21" s="175"/>
      <c r="D21" s="175"/>
      <c r="K21" s="155"/>
      <c r="L21" s="153" t="s">
        <v>67</v>
      </c>
      <c r="M21" s="6"/>
      <c r="N21" s="67"/>
    </row>
    <row r="22" spans="1:16" x14ac:dyDescent="0.35">
      <c r="B22" s="149" t="s">
        <v>212</v>
      </c>
      <c r="K22" s="152"/>
      <c r="L22" s="153" t="s">
        <v>187</v>
      </c>
      <c r="M22" s="134"/>
      <c r="N22" s="67"/>
    </row>
    <row r="23" spans="1:16" ht="15" thickBot="1" x14ac:dyDescent="0.4">
      <c r="A23" s="52"/>
      <c r="B23" s="149" t="s">
        <v>218</v>
      </c>
      <c r="K23" s="154"/>
      <c r="L23" s="72" t="s">
        <v>237</v>
      </c>
      <c r="M23" s="72"/>
      <c r="N23" s="73"/>
    </row>
    <row r="24" spans="1:16" ht="15" thickTop="1" x14ac:dyDescent="0.35">
      <c r="B24" s="149" t="s">
        <v>213</v>
      </c>
      <c r="J24" s="126" t="s">
        <v>238</v>
      </c>
      <c r="K24" s="76"/>
      <c r="L24" s="74"/>
      <c r="M24" s="75"/>
    </row>
    <row r="25" spans="1:16" x14ac:dyDescent="0.35">
      <c r="B25" s="75" t="s">
        <v>214</v>
      </c>
      <c r="K25" s="205"/>
      <c r="L25" s="74" t="s">
        <v>332</v>
      </c>
    </row>
    <row r="26" spans="1:16" x14ac:dyDescent="0.35">
      <c r="K26" s="77"/>
      <c r="L26" s="74" t="s">
        <v>333</v>
      </c>
      <c r="M26" s="75"/>
    </row>
    <row r="27" spans="1:16" x14ac:dyDescent="0.35">
      <c r="K27" s="167" t="s">
        <v>334</v>
      </c>
    </row>
    <row r="28" spans="1:16" x14ac:dyDescent="0.35">
      <c r="A28" s="174" t="s">
        <v>359</v>
      </c>
      <c r="B28" s="175"/>
      <c r="C28" s="175"/>
      <c r="D28" s="175"/>
      <c r="E28" s="175"/>
      <c r="K28" s="169"/>
      <c r="L28" s="74" t="s">
        <v>335</v>
      </c>
    </row>
    <row r="29" spans="1:16" x14ac:dyDescent="0.35">
      <c r="A29" s="26"/>
      <c r="B29" s="149" t="s">
        <v>215</v>
      </c>
      <c r="K29" s="167"/>
    </row>
    <row r="30" spans="1:16" x14ac:dyDescent="0.35">
      <c r="B30" s="149" t="s">
        <v>216</v>
      </c>
    </row>
    <row r="31" spans="1:16" x14ac:dyDescent="0.35">
      <c r="B31" s="149" t="s">
        <v>217</v>
      </c>
    </row>
    <row r="32" spans="1:16" x14ac:dyDescent="0.35">
      <c r="B32" s="166" t="s">
        <v>210</v>
      </c>
      <c r="J32" s="177"/>
      <c r="K32" s="177"/>
      <c r="L32" s="177"/>
      <c r="M32" s="177"/>
      <c r="N32" s="177"/>
      <c r="O32" s="177"/>
      <c r="P32" s="177"/>
    </row>
    <row r="33" spans="1:16" x14ac:dyDescent="0.35">
      <c r="B33" t="s">
        <v>214</v>
      </c>
      <c r="J33" s="177"/>
      <c r="K33" s="177"/>
      <c r="L33" s="177"/>
      <c r="M33" s="177"/>
      <c r="N33" s="177"/>
      <c r="O33" s="177"/>
      <c r="P33" s="177"/>
    </row>
    <row r="35" spans="1:16" x14ac:dyDescent="0.35">
      <c r="A35" t="s">
        <v>222</v>
      </c>
      <c r="I35" s="177" t="s">
        <v>225</v>
      </c>
    </row>
    <row r="36" spans="1:16" x14ac:dyDescent="0.35">
      <c r="A36" t="s">
        <v>223</v>
      </c>
      <c r="I36" s="177" t="s">
        <v>246</v>
      </c>
    </row>
    <row r="37" spans="1:16" x14ac:dyDescent="0.35">
      <c r="A37" t="s">
        <v>224</v>
      </c>
    </row>
    <row r="38" spans="1:16" x14ac:dyDescent="0.35">
      <c r="A38" s="241" t="s">
        <v>362</v>
      </c>
      <c r="B38" s="185"/>
      <c r="C38" s="185"/>
      <c r="D38" s="185"/>
      <c r="E38" s="185"/>
      <c r="F38" s="185"/>
      <c r="G38" s="185"/>
      <c r="H38" s="185"/>
      <c r="I38" s="185"/>
      <c r="J38" s="185"/>
      <c r="K38" s="185"/>
      <c r="L38" s="185"/>
      <c r="M38" s="186"/>
    </row>
    <row r="39" spans="1:16" x14ac:dyDescent="0.35">
      <c r="A39" s="187" t="s">
        <v>424</v>
      </c>
      <c r="B39" s="6"/>
      <c r="C39" s="6"/>
      <c r="D39" s="6"/>
      <c r="E39" s="6"/>
      <c r="F39" s="6"/>
      <c r="G39" s="6"/>
      <c r="H39" s="6"/>
      <c r="I39" s="6"/>
      <c r="J39" s="6"/>
      <c r="K39" s="6"/>
      <c r="L39" s="6"/>
      <c r="M39" s="188"/>
    </row>
    <row r="40" spans="1:16" x14ac:dyDescent="0.35">
      <c r="A40" s="187" t="s">
        <v>426</v>
      </c>
      <c r="B40" s="6"/>
      <c r="C40" s="6"/>
      <c r="D40" s="6"/>
      <c r="E40" s="6"/>
      <c r="F40" s="6"/>
      <c r="G40" s="6"/>
      <c r="H40" s="6"/>
      <c r="I40" s="6"/>
      <c r="J40" s="6"/>
      <c r="K40" s="6"/>
      <c r="L40" s="6"/>
      <c r="M40" s="188"/>
    </row>
    <row r="41" spans="1:16" x14ac:dyDescent="0.35">
      <c r="A41" s="187"/>
      <c r="B41" s="305" t="s">
        <v>427</v>
      </c>
      <c r="C41" s="305"/>
      <c r="D41" s="305"/>
      <c r="E41" s="305"/>
      <c r="F41" s="305"/>
      <c r="G41" s="305"/>
      <c r="H41" s="305"/>
      <c r="I41" s="305"/>
      <c r="J41" s="6"/>
      <c r="K41" s="6"/>
      <c r="L41" s="6"/>
      <c r="M41" s="188"/>
    </row>
    <row r="42" spans="1:16" x14ac:dyDescent="0.35">
      <c r="A42" s="189"/>
      <c r="B42" s="306" t="s">
        <v>428</v>
      </c>
      <c r="C42" s="306"/>
      <c r="D42" s="306"/>
      <c r="E42" s="306"/>
      <c r="F42" s="306"/>
      <c r="G42" s="306"/>
      <c r="H42" s="306"/>
      <c r="I42" s="306"/>
      <c r="J42" s="175"/>
      <c r="K42" s="175"/>
      <c r="L42" s="175"/>
      <c r="M42" s="190"/>
    </row>
  </sheetData>
  <sheetProtection sheet="1" objects="1" scenarios="1"/>
  <mergeCells count="7">
    <mergeCell ref="I3:Q3"/>
    <mergeCell ref="I4:Q4"/>
    <mergeCell ref="A1:G1"/>
    <mergeCell ref="A2:G2"/>
    <mergeCell ref="A3:G3"/>
    <mergeCell ref="I1:Q1"/>
    <mergeCell ref="I2:Q2"/>
  </mergeCells>
  <pageMargins left="0.7" right="0.7" top="0.75" bottom="0.75" header="0.3" footer="0.3"/>
  <pageSetup orientation="portrait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">
    <tabColor rgb="FFFFFF00"/>
  </sheetPr>
  <dimension ref="A1:S39"/>
  <sheetViews>
    <sheetView showZeros="0" topLeftCell="A13" workbookViewId="0">
      <selection activeCell="G32" sqref="G32"/>
    </sheetView>
  </sheetViews>
  <sheetFormatPr defaultColWidth="8.81640625" defaultRowHeight="14.5" x14ac:dyDescent="0.35"/>
  <cols>
    <col min="1" max="2" width="11.81640625" customWidth="1"/>
    <col min="7" max="8" width="11.453125" customWidth="1"/>
  </cols>
  <sheetData>
    <row r="1" spans="1:19" ht="15" thickBot="1" x14ac:dyDescent="0.4">
      <c r="A1" s="26" t="s">
        <v>54</v>
      </c>
      <c r="H1" s="26" t="s">
        <v>56</v>
      </c>
    </row>
    <row r="2" spans="1:19" ht="15" thickTop="1" x14ac:dyDescent="0.35">
      <c r="B2" s="52" t="s">
        <v>53</v>
      </c>
      <c r="C2" s="418"/>
      <c r="D2" s="418"/>
      <c r="E2" s="418"/>
      <c r="F2" s="418"/>
      <c r="G2" s="50"/>
      <c r="H2" s="58" t="s">
        <v>55</v>
      </c>
      <c r="I2" s="51"/>
      <c r="O2" s="126" t="s">
        <v>236</v>
      </c>
      <c r="P2" s="156" t="s">
        <v>188</v>
      </c>
      <c r="Q2" s="62"/>
      <c r="R2" s="151"/>
      <c r="S2" s="63"/>
    </row>
    <row r="3" spans="1:19" x14ac:dyDescent="0.35">
      <c r="B3" s="52" t="s">
        <v>58</v>
      </c>
      <c r="C3" s="417"/>
      <c r="D3" s="417"/>
      <c r="E3" s="417"/>
      <c r="F3" s="417"/>
      <c r="H3" s="50"/>
      <c r="I3" s="53"/>
      <c r="P3" s="155"/>
      <c r="Q3" s="153" t="s">
        <v>67</v>
      </c>
      <c r="R3" s="6"/>
      <c r="S3" s="67"/>
    </row>
    <row r="4" spans="1:19" x14ac:dyDescent="0.35">
      <c r="B4" s="52" t="s">
        <v>52</v>
      </c>
      <c r="C4" s="417"/>
      <c r="D4" s="417"/>
      <c r="E4" s="417"/>
      <c r="F4" s="417"/>
      <c r="H4" s="58" t="s">
        <v>57</v>
      </c>
      <c r="I4" s="54"/>
      <c r="P4" s="152"/>
      <c r="Q4" s="153" t="s">
        <v>187</v>
      </c>
      <c r="R4" s="134"/>
      <c r="S4" s="67"/>
    </row>
    <row r="5" spans="1:19" ht="15" thickBot="1" x14ac:dyDescent="0.4">
      <c r="P5" s="154"/>
      <c r="Q5" s="72" t="s">
        <v>237</v>
      </c>
      <c r="R5" s="72"/>
      <c r="S5" s="73"/>
    </row>
    <row r="6" spans="1:19" ht="15" thickTop="1" x14ac:dyDescent="0.35">
      <c r="F6" s="55"/>
      <c r="G6" s="56"/>
      <c r="H6" s="57"/>
      <c r="O6" s="126" t="s">
        <v>238</v>
      </c>
      <c r="P6" s="76"/>
      <c r="Q6" s="74"/>
      <c r="R6" s="75"/>
    </row>
    <row r="7" spans="1:19" ht="15" thickBot="1" x14ac:dyDescent="0.4">
      <c r="A7" s="26" t="s">
        <v>62</v>
      </c>
      <c r="P7" s="205"/>
      <c r="Q7" s="74" t="s">
        <v>332</v>
      </c>
    </row>
    <row r="8" spans="1:19" ht="16" thickTop="1" x14ac:dyDescent="0.35">
      <c r="B8" s="59" t="s">
        <v>63</v>
      </c>
      <c r="C8" s="60"/>
      <c r="D8" s="60"/>
      <c r="E8" s="61"/>
      <c r="F8" s="62"/>
      <c r="G8" s="63"/>
      <c r="I8" s="286"/>
      <c r="J8" t="s">
        <v>59</v>
      </c>
      <c r="L8" s="169">
        <f>+I8/I9</f>
        <v>0</v>
      </c>
      <c r="M8" t="s">
        <v>60</v>
      </c>
      <c r="P8" s="77"/>
      <c r="Q8" s="74" t="s">
        <v>333</v>
      </c>
      <c r="R8" s="75"/>
    </row>
    <row r="9" spans="1:19" ht="15.5" x14ac:dyDescent="0.35">
      <c r="B9" s="64" t="s">
        <v>64</v>
      </c>
      <c r="C9" s="65"/>
      <c r="D9" s="65"/>
      <c r="E9" s="66"/>
      <c r="F9" s="6"/>
      <c r="G9" s="67"/>
      <c r="I9">
        <v>305</v>
      </c>
      <c r="J9" t="s">
        <v>61</v>
      </c>
      <c r="P9" s="167" t="s">
        <v>334</v>
      </c>
    </row>
    <row r="10" spans="1:19" ht="15.5" x14ac:dyDescent="0.35">
      <c r="B10" s="68" t="s">
        <v>65</v>
      </c>
      <c r="C10" s="6"/>
      <c r="D10" s="6"/>
      <c r="E10" s="66"/>
      <c r="F10" s="6"/>
      <c r="G10" s="67"/>
      <c r="P10" s="169"/>
      <c r="Q10" s="74" t="s">
        <v>335</v>
      </c>
    </row>
    <row r="11" spans="1:19" ht="16" thickBot="1" x14ac:dyDescent="0.4">
      <c r="B11" s="69" t="s">
        <v>66</v>
      </c>
      <c r="C11" s="70"/>
      <c r="D11" s="70"/>
      <c r="E11" s="71"/>
      <c r="F11" s="72"/>
      <c r="G11" s="73"/>
      <c r="P11" s="167"/>
    </row>
    <row r="12" spans="1:19" ht="15" thickTop="1" x14ac:dyDescent="0.35"/>
    <row r="14" spans="1:19" ht="15.5" x14ac:dyDescent="0.35">
      <c r="A14" s="78" t="s">
        <v>68</v>
      </c>
      <c r="P14" t="s">
        <v>129</v>
      </c>
    </row>
    <row r="15" spans="1:19" ht="15" thickBot="1" x14ac:dyDescent="0.4">
      <c r="P15">
        <v>24</v>
      </c>
    </row>
    <row r="16" spans="1:19" ht="15.75" customHeight="1" thickBot="1" x14ac:dyDescent="0.4">
      <c r="G16" s="346" t="s">
        <v>489</v>
      </c>
      <c r="H16" s="415" t="s">
        <v>69</v>
      </c>
      <c r="K16" s="373" t="s">
        <v>70</v>
      </c>
      <c r="L16" s="374"/>
      <c r="M16" s="375"/>
      <c r="P16">
        <v>22</v>
      </c>
    </row>
    <row r="17" spans="1:16" ht="15" thickBot="1" x14ac:dyDescent="0.4">
      <c r="A17" s="383" t="s">
        <v>5</v>
      </c>
      <c r="B17" s="384"/>
      <c r="C17" s="383" t="s">
        <v>6</v>
      </c>
      <c r="D17" s="396"/>
      <c r="E17" s="396"/>
      <c r="F17" s="396"/>
      <c r="G17" s="176" t="s">
        <v>245</v>
      </c>
      <c r="H17" s="416"/>
      <c r="I17" s="396" t="s">
        <v>71</v>
      </c>
      <c r="J17" s="396"/>
      <c r="K17" s="368" t="s">
        <v>72</v>
      </c>
      <c r="L17" s="369"/>
      <c r="M17" s="370"/>
      <c r="P17">
        <v>20</v>
      </c>
    </row>
    <row r="18" spans="1:16" x14ac:dyDescent="0.35">
      <c r="A18" s="420"/>
      <c r="B18" s="421"/>
      <c r="C18" s="397"/>
      <c r="D18" s="398"/>
      <c r="E18" s="398"/>
      <c r="F18" s="399"/>
      <c r="G18" s="285" t="str">
        <f t="array" ref="G18">IF(ISNA(INDEX(RefTable!$E$9:$E$43,MATCH(1,(RefTable!$C$9:$C$43=Inventory!A18)*(RefTable!$D$9:$D$43=Inventory!C18),0))),"0",INDEX(RefTable!$E$9:$E$43,MATCH(1,(RefTable!$C$9:$C$43=Inventory!A18)*(RefTable!$D$9:$D$43=Inventory!C18),0)))</f>
        <v>0</v>
      </c>
      <c r="H18" s="120"/>
      <c r="I18" s="408">
        <f>G18*H18</f>
        <v>0</v>
      </c>
      <c r="J18" s="409"/>
      <c r="K18" s="410">
        <f>I18/1000</f>
        <v>0</v>
      </c>
      <c r="L18" s="411"/>
      <c r="M18" s="412"/>
      <c r="P18">
        <v>18</v>
      </c>
    </row>
    <row r="19" spans="1:16" x14ac:dyDescent="0.35">
      <c r="A19" s="385"/>
      <c r="B19" s="419"/>
      <c r="C19" s="400"/>
      <c r="D19" s="401"/>
      <c r="E19" s="401"/>
      <c r="F19" s="402"/>
      <c r="G19" s="285" t="str">
        <f t="array" ref="G19">IF(ISNA(INDEX(RefTable!$E$9:$E$43,MATCH(1,(RefTable!$C$9:$C$43=Inventory!A19)*(RefTable!$D$9:$D$43=Inventory!C19),0))),"0",INDEX(RefTable!$E$9:$E$43,MATCH(1,(RefTable!$C$9:$C$43=Inventory!A19)*(RefTable!$D$9:$D$43=Inventory!C19),0)))</f>
        <v>0</v>
      </c>
      <c r="H19" s="121"/>
      <c r="I19" s="403">
        <f t="shared" ref="I19:I23" si="0">G19*H19</f>
        <v>0</v>
      </c>
      <c r="J19" s="404"/>
      <c r="K19" s="405">
        <f t="shared" ref="K19:K23" si="1">I19/1000</f>
        <v>0</v>
      </c>
      <c r="L19" s="406"/>
      <c r="M19" s="407"/>
      <c r="P19">
        <v>16</v>
      </c>
    </row>
    <row r="20" spans="1:16" x14ac:dyDescent="0.35">
      <c r="A20" s="422"/>
      <c r="B20" s="423"/>
      <c r="C20" s="400"/>
      <c r="D20" s="401"/>
      <c r="E20" s="401"/>
      <c r="F20" s="402"/>
      <c r="G20" s="285" t="str">
        <f t="array" ref="G20">IF(ISNA(INDEX(RefTable!$E$9:$E$43,MATCH(1,(RefTable!$C$9:$C$43=Inventory!A20)*(RefTable!$D$9:$D$43=Inventory!C20),0))),"0",INDEX(RefTable!$E$9:$E$43,MATCH(1,(RefTable!$C$9:$C$43=Inventory!A20)*(RefTable!$D$9:$D$43=Inventory!C20),0)))</f>
        <v>0</v>
      </c>
      <c r="H20" s="121"/>
      <c r="I20" s="403">
        <f t="shared" si="0"/>
        <v>0</v>
      </c>
      <c r="J20" s="404"/>
      <c r="K20" s="405">
        <f t="shared" si="1"/>
        <v>0</v>
      </c>
      <c r="L20" s="406"/>
      <c r="M20" s="407"/>
      <c r="P20">
        <v>14</v>
      </c>
    </row>
    <row r="21" spans="1:16" x14ac:dyDescent="0.35">
      <c r="A21" s="385"/>
      <c r="B21" s="419"/>
      <c r="C21" s="400"/>
      <c r="D21" s="401"/>
      <c r="E21" s="401"/>
      <c r="F21" s="402"/>
      <c r="G21" s="285" t="str">
        <f t="array" ref="G21">IF(ISNA(INDEX(RefTable!$E$9:$E$43,MATCH(1,(RefTable!$C$9:$C$43=Inventory!A21)*(RefTable!$D$9:$D$43=Inventory!C21),0))),"0",INDEX(RefTable!$E$9:$E$43,MATCH(1,(RefTable!$C$9:$C$43=Inventory!A21)*(RefTable!$D$9:$D$43=Inventory!C21),0)))</f>
        <v>0</v>
      </c>
      <c r="H21" s="121"/>
      <c r="I21" s="403">
        <f t="shared" si="0"/>
        <v>0</v>
      </c>
      <c r="J21" s="404"/>
      <c r="K21" s="405">
        <f t="shared" si="1"/>
        <v>0</v>
      </c>
      <c r="L21" s="406"/>
      <c r="M21" s="407"/>
      <c r="P21">
        <v>12</v>
      </c>
    </row>
    <row r="22" spans="1:16" x14ac:dyDescent="0.35">
      <c r="A22" s="385"/>
      <c r="B22" s="419"/>
      <c r="C22" s="400"/>
      <c r="D22" s="401"/>
      <c r="E22" s="401"/>
      <c r="F22" s="402"/>
      <c r="G22" s="285" t="str">
        <f t="array" ref="G22">IF(ISNA(INDEX(RefTable!$E$9:$E$43,MATCH(1,(RefTable!$C$9:$C$43=Inventory!A22)*(RefTable!$D$9:$D$43=Inventory!C22),0))),"0",INDEX(RefTable!$E$9:$E$43,MATCH(1,(RefTable!$C$9:$C$43=Inventory!A22)*(RefTable!$D$9:$D$43=Inventory!C22),0)))</f>
        <v>0</v>
      </c>
      <c r="H22" s="121"/>
      <c r="I22" s="403">
        <f t="shared" si="0"/>
        <v>0</v>
      </c>
      <c r="J22" s="404"/>
      <c r="K22" s="405">
        <f t="shared" si="1"/>
        <v>0</v>
      </c>
      <c r="L22" s="406"/>
      <c r="M22" s="407"/>
    </row>
    <row r="23" spans="1:16" ht="15" thickBot="1" x14ac:dyDescent="0.4">
      <c r="A23" s="413"/>
      <c r="B23" s="414"/>
      <c r="C23" s="400"/>
      <c r="D23" s="401"/>
      <c r="E23" s="401"/>
      <c r="F23" s="402"/>
      <c r="G23" s="285" t="str">
        <f t="array" ref="G23">IF(ISNA(INDEX(RefTable!$E$9:$E$43,MATCH(1,(RefTable!$C$9:$C$43=Inventory!A23)*(RefTable!$D$9:$D$43=Inventory!C23),0))),"0",INDEX(RefTable!$E$9:$E$43,MATCH(1,(RefTable!$C$9:$C$43=Inventory!A23)*(RefTable!$D$9:$D$43=Inventory!C23),0)))</f>
        <v>0</v>
      </c>
      <c r="H23" s="122"/>
      <c r="I23" s="391">
        <f t="shared" si="0"/>
        <v>0</v>
      </c>
      <c r="J23" s="392"/>
      <c r="K23" s="393">
        <f t="shared" si="1"/>
        <v>0</v>
      </c>
      <c r="L23" s="394"/>
      <c r="M23" s="395"/>
    </row>
    <row r="25" spans="1:16" x14ac:dyDescent="0.35">
      <c r="P25" t="s">
        <v>132</v>
      </c>
    </row>
    <row r="26" spans="1:16" x14ac:dyDescent="0.35">
      <c r="P26">
        <v>12</v>
      </c>
    </row>
    <row r="27" spans="1:16" ht="15.5" x14ac:dyDescent="0.35">
      <c r="B27" s="78" t="s">
        <v>126</v>
      </c>
      <c r="P27">
        <v>11</v>
      </c>
    </row>
    <row r="28" spans="1:16" ht="15" thickBot="1" x14ac:dyDescent="0.4">
      <c r="B28" t="s">
        <v>127</v>
      </c>
      <c r="P28">
        <v>10</v>
      </c>
    </row>
    <row r="29" spans="1:16" ht="15" thickBot="1" x14ac:dyDescent="0.4">
      <c r="B29" s="383" t="s">
        <v>5</v>
      </c>
      <c r="C29" s="384"/>
      <c r="D29" s="383" t="s">
        <v>128</v>
      </c>
      <c r="E29" s="384"/>
      <c r="L29" s="105"/>
      <c r="P29">
        <v>9</v>
      </c>
    </row>
    <row r="30" spans="1:16" x14ac:dyDescent="0.35">
      <c r="B30" s="389">
        <f>A18</f>
        <v>0</v>
      </c>
      <c r="C30" s="390"/>
      <c r="D30" s="385"/>
      <c r="E30" s="386"/>
      <c r="G30" s="26" t="s">
        <v>130</v>
      </c>
      <c r="L30" s="106"/>
      <c r="P30">
        <v>8</v>
      </c>
    </row>
    <row r="31" spans="1:16" ht="15" thickBot="1" x14ac:dyDescent="0.4">
      <c r="B31" s="379">
        <f t="shared" ref="B31:B35" si="2">A19</f>
        <v>0</v>
      </c>
      <c r="C31" s="380"/>
      <c r="D31" s="385"/>
      <c r="E31" s="386"/>
      <c r="G31" t="s">
        <v>131</v>
      </c>
      <c r="P31">
        <v>7</v>
      </c>
    </row>
    <row r="32" spans="1:16" ht="15" thickBot="1" x14ac:dyDescent="0.4">
      <c r="B32" s="379">
        <f t="shared" si="2"/>
        <v>0</v>
      </c>
      <c r="C32" s="380"/>
      <c r="D32" s="385"/>
      <c r="E32" s="386"/>
      <c r="G32" s="119"/>
      <c r="H32" s="126" t="s">
        <v>356</v>
      </c>
      <c r="I32" s="228" t="s">
        <v>247</v>
      </c>
      <c r="J32" s="229"/>
      <c r="K32" s="229"/>
      <c r="L32" s="229"/>
      <c r="M32" s="2"/>
      <c r="N32" s="2"/>
      <c r="O32" s="230"/>
      <c r="P32">
        <v>6</v>
      </c>
    </row>
    <row r="33" spans="2:16" x14ac:dyDescent="0.35">
      <c r="B33" s="379">
        <f t="shared" si="2"/>
        <v>0</v>
      </c>
      <c r="C33" s="380"/>
      <c r="D33" s="385"/>
      <c r="E33" s="386"/>
      <c r="I33" s="231"/>
      <c r="J33" s="232" t="s">
        <v>212</v>
      </c>
      <c r="K33" s="6"/>
      <c r="L33" s="6"/>
      <c r="M33" s="6"/>
      <c r="N33" s="6"/>
      <c r="O33" s="233"/>
      <c r="P33">
        <v>5</v>
      </c>
    </row>
    <row r="34" spans="2:16" x14ac:dyDescent="0.35">
      <c r="B34" s="379">
        <f t="shared" si="2"/>
        <v>0</v>
      </c>
      <c r="C34" s="380"/>
      <c r="D34" s="385"/>
      <c r="E34" s="386"/>
      <c r="I34" s="234"/>
      <c r="J34" s="232" t="s">
        <v>218</v>
      </c>
      <c r="K34" s="6"/>
      <c r="L34" s="6"/>
      <c r="M34" s="6"/>
      <c r="N34" s="6"/>
      <c r="O34" s="233"/>
      <c r="P34">
        <v>4</v>
      </c>
    </row>
    <row r="35" spans="2:16" ht="15" thickBot="1" x14ac:dyDescent="0.4">
      <c r="B35" s="381">
        <f t="shared" si="2"/>
        <v>0</v>
      </c>
      <c r="C35" s="382"/>
      <c r="D35" s="387"/>
      <c r="E35" s="388"/>
      <c r="I35" s="239" t="s">
        <v>357</v>
      </c>
      <c r="J35" s="240"/>
      <c r="K35" s="240"/>
      <c r="L35" s="22"/>
      <c r="M35" s="22"/>
      <c r="N35" s="22"/>
      <c r="O35" s="235"/>
      <c r="P35">
        <v>3</v>
      </c>
    </row>
    <row r="36" spans="2:16" x14ac:dyDescent="0.35">
      <c r="H36" s="126" t="s">
        <v>356</v>
      </c>
      <c r="I36" s="228" t="s">
        <v>359</v>
      </c>
      <c r="J36" s="229"/>
      <c r="K36" s="229"/>
      <c r="L36" s="229"/>
      <c r="M36" s="229"/>
      <c r="N36" s="2"/>
      <c r="O36" s="230"/>
    </row>
    <row r="37" spans="2:16" x14ac:dyDescent="0.35">
      <c r="I37" s="236"/>
      <c r="J37" s="232" t="s">
        <v>215</v>
      </c>
      <c r="K37" s="6"/>
      <c r="L37" s="6"/>
      <c r="M37" s="6"/>
      <c r="N37" s="6"/>
      <c r="O37" s="233"/>
    </row>
    <row r="38" spans="2:16" x14ac:dyDescent="0.35">
      <c r="I38" s="231"/>
      <c r="J38" s="232" t="s">
        <v>216</v>
      </c>
      <c r="K38" s="6"/>
      <c r="L38" s="6"/>
      <c r="M38" s="6"/>
      <c r="N38" s="6"/>
      <c r="O38" s="233"/>
    </row>
    <row r="39" spans="2:16" ht="15" thickBot="1" x14ac:dyDescent="0.4">
      <c r="I39" s="237" t="s">
        <v>358</v>
      </c>
      <c r="J39" s="238"/>
      <c r="K39" s="238"/>
      <c r="L39" s="22"/>
      <c r="M39" s="22"/>
      <c r="N39" s="22"/>
      <c r="O39" s="235"/>
    </row>
  </sheetData>
  <sheetProtection sheet="1" objects="1" scenarios="1"/>
  <mergeCells count="47">
    <mergeCell ref="A23:B23"/>
    <mergeCell ref="H16:H17"/>
    <mergeCell ref="C3:F3"/>
    <mergeCell ref="C2:F2"/>
    <mergeCell ref="C4:F4"/>
    <mergeCell ref="A22:B22"/>
    <mergeCell ref="A17:B17"/>
    <mergeCell ref="A18:B18"/>
    <mergeCell ref="A19:B19"/>
    <mergeCell ref="A20:B20"/>
    <mergeCell ref="A21:B21"/>
    <mergeCell ref="K20:M20"/>
    <mergeCell ref="K16:M16"/>
    <mergeCell ref="I17:J17"/>
    <mergeCell ref="K17:M17"/>
    <mergeCell ref="I18:J18"/>
    <mergeCell ref="K18:M18"/>
    <mergeCell ref="I23:J23"/>
    <mergeCell ref="K23:M23"/>
    <mergeCell ref="C17:F17"/>
    <mergeCell ref="C18:F18"/>
    <mergeCell ref="C19:F19"/>
    <mergeCell ref="C20:F20"/>
    <mergeCell ref="C21:F21"/>
    <mergeCell ref="C22:F22"/>
    <mergeCell ref="C23:F23"/>
    <mergeCell ref="I21:J21"/>
    <mergeCell ref="K21:M21"/>
    <mergeCell ref="I22:J22"/>
    <mergeCell ref="K22:M22"/>
    <mergeCell ref="I19:J19"/>
    <mergeCell ref="K19:M19"/>
    <mergeCell ref="I20:J20"/>
    <mergeCell ref="B34:C34"/>
    <mergeCell ref="B35:C35"/>
    <mergeCell ref="D29:E29"/>
    <mergeCell ref="D30:E30"/>
    <mergeCell ref="D31:E31"/>
    <mergeCell ref="D32:E32"/>
    <mergeCell ref="D33:E33"/>
    <mergeCell ref="D34:E34"/>
    <mergeCell ref="D35:E35"/>
    <mergeCell ref="B29:C29"/>
    <mergeCell ref="B30:C30"/>
    <mergeCell ref="B31:C31"/>
    <mergeCell ref="B32:C32"/>
    <mergeCell ref="B33:C33"/>
  </mergeCells>
  <dataValidations count="3">
    <dataValidation type="list" allowBlank="1" showInputMessage="1" showErrorMessage="1" sqref="A18:B23" xr:uid="{00000000-0002-0000-0200-000000000000}">
      <formula1>dd_primary</formula1>
    </dataValidation>
    <dataValidation type="list" allowBlank="1" showInputMessage="1" showErrorMessage="1" sqref="D30:E35" xr:uid="{00000000-0002-0000-0200-000001000000}">
      <formula1>$P$15:$P$21</formula1>
    </dataValidation>
    <dataValidation type="list" allowBlank="1" showInputMessage="1" showErrorMessage="1" sqref="G32" xr:uid="{00000000-0002-0000-0200-000002000000}">
      <formula1>$P$26:$P$35</formula1>
    </dataValidation>
  </dataValidations>
  <pageMargins left="0.7" right="0.7" top="0.75" bottom="0.75" header="0.3" footer="0.3"/>
  <pageSetup orientation="portrait" r:id="rId1"/>
  <drawing r:id="rId2"/>
  <extLst>
    <ext xmlns:x14="http://schemas.microsoft.com/office/spreadsheetml/2009/9/main" uri="{CCE6A557-97BC-4b89-ADB6-D9C93CAAB3DF}">
      <x14:dataValidations xmlns:xm="http://schemas.microsoft.com/office/excel/2006/main" count="6">
        <x14:dataValidation type="list" allowBlank="1" showInputMessage="1" showErrorMessage="1" xr:uid="{00000000-0002-0000-0200-000003000000}">
          <x14:formula1>
            <xm:f>RefTable!$N$6:$U$6</xm:f>
          </x14:formula1>
          <xm:sqref>C18:F18</xm:sqref>
        </x14:dataValidation>
        <x14:dataValidation type="list" allowBlank="1" showInputMessage="1" showErrorMessage="1" xr:uid="{00000000-0002-0000-0200-000004000000}">
          <x14:formula1>
            <xm:f>RefTable!$N$7:$U$7</xm:f>
          </x14:formula1>
          <xm:sqref>C19:F19</xm:sqref>
        </x14:dataValidation>
        <x14:dataValidation type="list" allowBlank="1" showInputMessage="1" showErrorMessage="1" xr:uid="{00000000-0002-0000-0200-000005000000}">
          <x14:formula1>
            <xm:f>RefTable!$N$8:$U$8</xm:f>
          </x14:formula1>
          <xm:sqref>C20:F20</xm:sqref>
        </x14:dataValidation>
        <x14:dataValidation type="list" allowBlank="1" showInputMessage="1" showErrorMessage="1" xr:uid="{00000000-0002-0000-0200-000006000000}">
          <x14:formula1>
            <xm:f>RefTable!$N$9:$U$9</xm:f>
          </x14:formula1>
          <xm:sqref>C21:F21</xm:sqref>
        </x14:dataValidation>
        <x14:dataValidation type="list" allowBlank="1" showInputMessage="1" showErrorMessage="1" xr:uid="{00000000-0002-0000-0200-000007000000}">
          <x14:formula1>
            <xm:f>RefTable!$N$10:$U$10</xm:f>
          </x14:formula1>
          <xm:sqref>C22:F22</xm:sqref>
        </x14:dataValidation>
        <x14:dataValidation type="list" allowBlank="1" showInputMessage="1" showErrorMessage="1" xr:uid="{00000000-0002-0000-0200-000008000000}">
          <x14:formula1>
            <xm:f>RefTable!$N$11:$U$11</xm:f>
          </x14:formula1>
          <xm:sqref>C23:F23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3">
    <tabColor theme="5" tint="0.59999389629810485"/>
  </sheetPr>
  <dimension ref="A1:N50"/>
  <sheetViews>
    <sheetView showZeros="0" topLeftCell="A16" workbookViewId="0">
      <selection activeCell="A3" sqref="A3"/>
    </sheetView>
  </sheetViews>
  <sheetFormatPr defaultColWidth="8.81640625" defaultRowHeight="14.5" x14ac:dyDescent="0.35"/>
  <cols>
    <col min="1" max="1" width="25.453125" customWidth="1"/>
    <col min="2" max="2" width="30.453125" customWidth="1"/>
    <col min="3" max="3" width="14.1796875" customWidth="1"/>
    <col min="4" max="4" width="13" customWidth="1"/>
    <col min="5" max="5" width="13.1796875" customWidth="1"/>
    <col min="6" max="6" width="9.81640625" customWidth="1"/>
    <col min="7" max="7" width="12.81640625" customWidth="1"/>
    <col min="8" max="9" width="16.453125" customWidth="1"/>
    <col min="10" max="10" width="18.81640625" customWidth="1"/>
  </cols>
  <sheetData>
    <row r="1" spans="1:14" ht="15" thickBot="1" x14ac:dyDescent="0.4">
      <c r="A1" s="118" t="s">
        <v>117</v>
      </c>
    </row>
    <row r="2" spans="1:14" ht="15" thickTop="1" x14ac:dyDescent="0.35">
      <c r="A2" s="118" t="s">
        <v>248</v>
      </c>
      <c r="J2" s="126" t="s">
        <v>236</v>
      </c>
      <c r="K2" s="156" t="s">
        <v>188</v>
      </c>
      <c r="L2" s="62"/>
      <c r="M2" s="151"/>
      <c r="N2" s="63"/>
    </row>
    <row r="3" spans="1:14" x14ac:dyDescent="0.35">
      <c r="A3" t="s">
        <v>425</v>
      </c>
      <c r="K3" s="155"/>
      <c r="L3" s="153" t="s">
        <v>67</v>
      </c>
      <c r="M3" s="6"/>
      <c r="N3" s="67"/>
    </row>
    <row r="4" spans="1:14" ht="15" thickBot="1" x14ac:dyDescent="0.4">
      <c r="K4" s="152"/>
      <c r="L4" s="153" t="s">
        <v>187</v>
      </c>
      <c r="M4" s="134"/>
      <c r="N4" s="67"/>
    </row>
    <row r="5" spans="1:14" ht="15" thickBot="1" x14ac:dyDescent="0.4">
      <c r="A5" s="26" t="s">
        <v>145</v>
      </c>
      <c r="H5" s="436" t="s">
        <v>133</v>
      </c>
      <c r="I5" s="437"/>
      <c r="K5" s="154"/>
      <c r="L5" s="72" t="s">
        <v>237</v>
      </c>
      <c r="M5" s="72"/>
      <c r="N5" s="73"/>
    </row>
    <row r="6" spans="1:14" ht="15" customHeight="1" x14ac:dyDescent="0.35">
      <c r="A6" s="426" t="s">
        <v>125</v>
      </c>
      <c r="B6" s="426" t="s">
        <v>6</v>
      </c>
      <c r="C6" s="424" t="s">
        <v>124</v>
      </c>
      <c r="D6" s="424" t="s">
        <v>118</v>
      </c>
      <c r="E6" s="424" t="s">
        <v>119</v>
      </c>
      <c r="F6" s="428" t="s">
        <v>120</v>
      </c>
      <c r="G6" s="430" t="s">
        <v>121</v>
      </c>
      <c r="H6" s="432" t="s">
        <v>122</v>
      </c>
      <c r="I6" s="434" t="s">
        <v>123</v>
      </c>
      <c r="J6" s="126" t="s">
        <v>238</v>
      </c>
      <c r="K6" s="76"/>
      <c r="L6" s="74"/>
      <c r="M6" s="75"/>
    </row>
    <row r="7" spans="1:14" x14ac:dyDescent="0.35">
      <c r="A7" s="427"/>
      <c r="B7" s="427"/>
      <c r="C7" s="425"/>
      <c r="D7" s="425"/>
      <c r="E7" s="425"/>
      <c r="F7" s="429"/>
      <c r="G7" s="431"/>
      <c r="H7" s="433"/>
      <c r="I7" s="435"/>
      <c r="K7" s="205"/>
      <c r="L7" s="74" t="s">
        <v>332</v>
      </c>
    </row>
    <row r="8" spans="1:14" x14ac:dyDescent="0.35">
      <c r="A8" s="206">
        <f>Inventory!A18</f>
        <v>0</v>
      </c>
      <c r="B8" s="206">
        <f>Inventory!C18</f>
        <v>0</v>
      </c>
      <c r="C8" s="207">
        <f>Inventory!K18</f>
        <v>0</v>
      </c>
      <c r="D8" s="124" t="str">
        <f t="array" ref="D8">IF(ISNA(INDEX(RefTable!$G$9:$G$43,MATCH(1,(RefTable!$C$9:$C$43=$A8)*(RefTable!$D$9:$D$43=$B8),0))),"0",INDEX(RefTable!$G$9:$G$43,MATCH(1,(RefTable!$C$9:$C$43=$A8)*(RefTable!$D$9:$D$43=$B8),0)))</f>
        <v>0</v>
      </c>
      <c r="E8" s="124" t="str">
        <f t="array" ref="E8">IF(ISNA(INDEX(RefTable!$H$9:$H$43,MATCH(1,(RefTable!$C$9:$C$43=$A8)*(RefTable!$D$9:$D$43=$B8),0))),"0",INDEX(RefTable!$H$9:$H$43,MATCH(1,(RefTable!$C$9:$C$43=$A8)*(RefTable!$D$9:$D$43=$B8),0)))</f>
        <v>0</v>
      </c>
      <c r="F8" s="124" t="str">
        <f t="array" ref="F8">IF(ISNA(INDEX(RefTable!$I$9:$I$43,MATCH(1,(RefTable!$C$9:$C$43=$A8)*(RefTable!$D$9:$D$43=$B8),0))),"0",INDEX(RefTable!$I$9:$I$43,MATCH(1,(RefTable!$C$9:$C$43=$A8)*(RefTable!$D$9:$D$43=$B8),0)))</f>
        <v>0</v>
      </c>
      <c r="G8" s="208">
        <f>Inventory!D30</f>
        <v>0</v>
      </c>
      <c r="H8" s="275">
        <f>C8*D8*G8/24</f>
        <v>0</v>
      </c>
      <c r="I8" s="277">
        <f>C8*E8*G8/24</f>
        <v>0</v>
      </c>
      <c r="K8" s="77"/>
      <c r="L8" s="74" t="s">
        <v>333</v>
      </c>
      <c r="M8" s="75"/>
    </row>
    <row r="9" spans="1:14" x14ac:dyDescent="0.35">
      <c r="A9" s="206">
        <f>Inventory!A19</f>
        <v>0</v>
      </c>
      <c r="B9" s="206">
        <f>Inventory!C19</f>
        <v>0</v>
      </c>
      <c r="C9" s="207">
        <f>Inventory!K19</f>
        <v>0</v>
      </c>
      <c r="D9" s="124" t="str">
        <f t="array" ref="D9">IF(ISNA(INDEX(RefTable!$G$9:$G$43,MATCH(1,(RefTable!$C$9:$C$43=$A9)*(RefTable!$D$9:$D$43=$B9),0))),"0",INDEX(RefTable!$G$9:$G$43,MATCH(1,(RefTable!$C$9:$C$43=$A9)*(RefTable!$D$9:$D$43=$B9),0)))</f>
        <v>0</v>
      </c>
      <c r="E9" s="124" t="str">
        <f t="array" ref="E9">IF(ISNA(INDEX(RefTable!$H$9:$H$43,MATCH(1,(RefTable!$C$9:$C$43=$A9)*(RefTable!$D$9:$D$43=$B9),0))),"0",INDEX(RefTable!$H$9:$H$43,MATCH(1,(RefTable!$C$9:$C$43=$A9)*(RefTable!$D$9:$D$43=$B9),0)))</f>
        <v>0</v>
      </c>
      <c r="F9" s="124" t="str">
        <f t="array" ref="F9">IF(ISNA(INDEX(RefTable!$I$9:$I$43,MATCH(1,(RefTable!$C$9:$C$43=$A9)*(RefTable!$D$9:$D$43=$B9),0))),"0",INDEX(RefTable!$I$9:$I$43,MATCH(1,(RefTable!$C$9:$C$43=$A9)*(RefTable!$D$9:$D$43=$B9),0)))</f>
        <v>0</v>
      </c>
      <c r="G9" s="208">
        <f>Inventory!D31</f>
        <v>0</v>
      </c>
      <c r="H9" s="275">
        <f t="shared" ref="H9:H13" si="0">C9*D9*G9/24</f>
        <v>0</v>
      </c>
      <c r="I9" s="277">
        <f t="shared" ref="I9:I13" si="1">C9*E9*G9/24</f>
        <v>0</v>
      </c>
      <c r="K9" s="167" t="s">
        <v>334</v>
      </c>
    </row>
    <row r="10" spans="1:14" x14ac:dyDescent="0.35">
      <c r="A10" s="206">
        <f>Inventory!A20</f>
        <v>0</v>
      </c>
      <c r="B10" s="206">
        <f>Inventory!C20</f>
        <v>0</v>
      </c>
      <c r="C10" s="207">
        <f>Inventory!K20</f>
        <v>0</v>
      </c>
      <c r="D10" s="124" t="str">
        <f t="array" ref="D10">IF(ISNA(INDEX(RefTable!$G$9:$G$43,MATCH(1,(RefTable!$C$9:$C$43=$A10)*(RefTable!$D$9:$D$43=$B10),0))),"0",INDEX(RefTable!$G$9:$G$43,MATCH(1,(RefTable!$C$9:$C$43=$A10)*(RefTable!$D$9:$D$43=$B10),0)))</f>
        <v>0</v>
      </c>
      <c r="E10" s="124" t="str">
        <f t="array" ref="E10">IF(ISNA(INDEX(RefTable!$H$9:$H$43,MATCH(1,(RefTable!$C$9:$C$43=$A10)*(RefTable!$D$9:$D$43=$B10),0))),"0",INDEX(RefTable!$H$9:$H$43,MATCH(1,(RefTable!$C$9:$C$43=$A10)*(RefTable!$D$9:$D$43=$B10),0)))</f>
        <v>0</v>
      </c>
      <c r="F10" s="124" t="str">
        <f t="array" ref="F10">IF(ISNA(INDEX(RefTable!$I$9:$I$43,MATCH(1,(RefTable!$C$9:$C$43=$A10)*(RefTable!$D$9:$D$43=$B10),0))),"0",INDEX(RefTable!$I$9:$I$43,MATCH(1,(RefTable!$C$9:$C$43=$A10)*(RefTable!$D$9:$D$43=$B10),0)))</f>
        <v>0</v>
      </c>
      <c r="G10" s="208">
        <f>Inventory!D32</f>
        <v>0</v>
      </c>
      <c r="H10" s="275">
        <f t="shared" si="0"/>
        <v>0</v>
      </c>
      <c r="I10" s="277">
        <f t="shared" si="1"/>
        <v>0</v>
      </c>
      <c r="K10" s="169"/>
      <c r="L10" s="74" t="s">
        <v>335</v>
      </c>
    </row>
    <row r="11" spans="1:14" x14ac:dyDescent="0.35">
      <c r="A11" s="206">
        <f>Inventory!A21</f>
        <v>0</v>
      </c>
      <c r="B11" s="206">
        <f>Inventory!C21</f>
        <v>0</v>
      </c>
      <c r="C11" s="207">
        <f>Inventory!K21</f>
        <v>0</v>
      </c>
      <c r="D11" s="124" t="str">
        <f t="array" ref="D11">IF(ISNA(INDEX(RefTable!$G$9:$G$43,MATCH(1,(RefTable!$C$9:$C$43=$A11)*(RefTable!$D$9:$D$43=$B11),0))),"0",INDEX(RefTable!$G$9:$G$43,MATCH(1,(RefTable!$C$9:$C$43=$A11)*(RefTable!$D$9:$D$43=$B11),0)))</f>
        <v>0</v>
      </c>
      <c r="E11" s="124" t="str">
        <f t="array" ref="E11">IF(ISNA(INDEX(RefTable!$H$9:$H$43,MATCH(1,(RefTable!$C$9:$C$43=$A11)*(RefTable!$D$9:$D$43=$B11),0))),"0",INDEX(RefTable!$H$9:$H$43,MATCH(1,(RefTable!$C$9:$C$43=$A11)*(RefTable!$D$9:$D$43=$B11),0)))</f>
        <v>0</v>
      </c>
      <c r="F11" s="124" t="str">
        <f t="array" ref="F11">IF(ISNA(INDEX(RefTable!$I$9:$I$43,MATCH(1,(RefTable!$C$9:$C$43=$A11)*(RefTable!$D$9:$D$43=$B11),0))),"0",INDEX(RefTable!$I$9:$I$43,MATCH(1,(RefTable!$C$9:$C$43=$A11)*(RefTable!$D$9:$D$43=$B11),0)))</f>
        <v>0</v>
      </c>
      <c r="G11" s="208">
        <f>Inventory!D33</f>
        <v>0</v>
      </c>
      <c r="H11" s="275">
        <f t="shared" si="0"/>
        <v>0</v>
      </c>
      <c r="I11" s="277">
        <f t="shared" si="1"/>
        <v>0</v>
      </c>
    </row>
    <row r="12" spans="1:14" x14ac:dyDescent="0.35">
      <c r="A12" s="206">
        <f>Inventory!A22</f>
        <v>0</v>
      </c>
      <c r="B12" s="206">
        <f>Inventory!C22</f>
        <v>0</v>
      </c>
      <c r="C12" s="207">
        <f>Inventory!K22</f>
        <v>0</v>
      </c>
      <c r="D12" s="124" t="str">
        <f t="array" ref="D12">IF(ISNA(INDEX(RefTable!$G$9:$G$43,MATCH(1,(RefTable!$C$9:$C$43=$A12)*(RefTable!$D$9:$D$43=$B12),0))),"0",INDEX(RefTable!$G$9:$G$43,MATCH(1,(RefTable!$C$9:$C$43=$A12)*(RefTable!$D$9:$D$43=$B12),0)))</f>
        <v>0</v>
      </c>
      <c r="E12" s="124" t="str">
        <f t="array" ref="E12">IF(ISNA(INDEX(RefTable!$H$9:$H$43,MATCH(1,(RefTable!$C$9:$C$43=$A12)*(RefTable!$D$9:$D$43=$B12),0))),"0",INDEX(RefTable!$H$9:$H$43,MATCH(1,(RefTable!$C$9:$C$43=$A12)*(RefTable!$D$9:$D$43=$B12),0)))</f>
        <v>0</v>
      </c>
      <c r="F12" s="124" t="str">
        <f t="array" ref="F12">IF(ISNA(INDEX(RefTable!$I$9:$I$43,MATCH(1,(RefTable!$C$9:$C$43=$A12)*(RefTable!$D$9:$D$43=$B12),0))),"0",INDEX(RefTable!$I$9:$I$43,MATCH(1,(RefTable!$C$9:$C$43=$A12)*(RefTable!$D$9:$D$43=$B12),0)))</f>
        <v>0</v>
      </c>
      <c r="G12" s="208">
        <f>Inventory!D34</f>
        <v>0</v>
      </c>
      <c r="H12" s="275">
        <f t="shared" si="0"/>
        <v>0</v>
      </c>
      <c r="I12" s="277">
        <f t="shared" si="1"/>
        <v>0</v>
      </c>
    </row>
    <row r="13" spans="1:14" x14ac:dyDescent="0.35">
      <c r="A13" s="206">
        <f>Inventory!A23</f>
        <v>0</v>
      </c>
      <c r="B13" s="206">
        <f>Inventory!C23</f>
        <v>0</v>
      </c>
      <c r="C13" s="207">
        <f>Inventory!K23</f>
        <v>0</v>
      </c>
      <c r="D13" s="124" t="str">
        <f t="array" ref="D13">IF(ISNA(INDEX(RefTable!$G$9:$G$43,MATCH(1,(RefTable!$C$9:$C$43=$A13)*(RefTable!$D$9:$D$43=$B13),0))),"0",INDEX(RefTable!$G$9:$G$43,MATCH(1,(RefTable!$C$9:$C$43=$A13)*(RefTable!$D$9:$D$43=$B13),0)))</f>
        <v>0</v>
      </c>
      <c r="E13" s="124" t="str">
        <f t="array" ref="E13">IF(ISNA(INDEX(RefTable!$H$9:$H$43,MATCH(1,(RefTable!$C$9:$C$43=$A13)*(RefTable!$D$9:$D$43=$B13),0))),"0",INDEX(RefTable!$H$9:$H$43,MATCH(1,(RefTable!$C$9:$C$43=$A13)*(RefTable!$D$9:$D$43=$B13),0)))</f>
        <v>0</v>
      </c>
      <c r="F13" s="124" t="str">
        <f t="array" ref="F13">IF(ISNA(INDEX(RefTable!$I$9:$I$43,MATCH(1,(RefTable!$C$9:$C$43=$A13)*(RefTable!$D$9:$D$43=$B13),0))),"0",INDEX(RefTable!$I$9:$I$43,MATCH(1,(RefTable!$C$9:$C$43=$A13)*(RefTable!$D$9:$D$43=$B13),0)))</f>
        <v>0</v>
      </c>
      <c r="G13" s="208">
        <f>Inventory!D35</f>
        <v>0</v>
      </c>
      <c r="H13" s="275">
        <f t="shared" si="0"/>
        <v>0</v>
      </c>
      <c r="I13" s="277">
        <f t="shared" si="1"/>
        <v>0</v>
      </c>
    </row>
    <row r="15" spans="1:14" ht="15" thickBot="1" x14ac:dyDescent="0.4"/>
    <row r="16" spans="1:14" ht="15" thickBot="1" x14ac:dyDescent="0.4">
      <c r="H16" s="436" t="s">
        <v>134</v>
      </c>
      <c r="I16" s="437"/>
    </row>
    <row r="17" spans="1:9" ht="15" thickBot="1" x14ac:dyDescent="0.4">
      <c r="H17" s="432" t="s">
        <v>136</v>
      </c>
      <c r="I17" s="434" t="s">
        <v>135</v>
      </c>
    </row>
    <row r="18" spans="1:9" ht="15" thickBot="1" x14ac:dyDescent="0.4">
      <c r="A18" s="26" t="s">
        <v>146</v>
      </c>
      <c r="D18" s="446" t="s">
        <v>148</v>
      </c>
      <c r="E18" s="446" t="s">
        <v>149</v>
      </c>
      <c r="H18" s="433"/>
      <c r="I18" s="435"/>
    </row>
    <row r="19" spans="1:9" ht="15" customHeight="1" x14ac:dyDescent="0.35">
      <c r="A19" s="426" t="s">
        <v>150</v>
      </c>
      <c r="B19" s="426" t="s">
        <v>6</v>
      </c>
      <c r="C19" s="444" t="s">
        <v>147</v>
      </c>
      <c r="D19" s="447"/>
      <c r="E19" s="447"/>
      <c r="H19" s="275">
        <f>H8*7</f>
        <v>0</v>
      </c>
      <c r="I19" s="275">
        <f>I8*7</f>
        <v>0</v>
      </c>
    </row>
    <row r="20" spans="1:9" ht="15" thickBot="1" x14ac:dyDescent="0.4">
      <c r="A20" s="427"/>
      <c r="B20" s="427"/>
      <c r="C20" s="445"/>
      <c r="D20" s="448"/>
      <c r="E20" s="448"/>
      <c r="H20" s="275">
        <f t="shared" ref="H20:I24" si="2">H9*7</f>
        <v>0</v>
      </c>
      <c r="I20" s="275">
        <f t="shared" si="2"/>
        <v>0</v>
      </c>
    </row>
    <row r="21" spans="1:9" x14ac:dyDescent="0.35">
      <c r="A21" s="206">
        <f>Inventory!A18</f>
        <v>0</v>
      </c>
      <c r="B21" s="206">
        <f>Inventory!C18</f>
        <v>0</v>
      </c>
      <c r="C21" s="284">
        <f>Inventory!H18</f>
        <v>0</v>
      </c>
      <c r="D21" s="125" t="str">
        <f t="array" ref="D21">IF(ISNA(INDEX(RefTable!$F$9:$F$43,MATCH(1,(RefTable!$C$9:$C$43=$A21)*(RefTable!$D$9:$D$43=$B21),0))),"0",INDEX(RefTable!$F$9:$F$43,MATCH(1,(RefTable!$C$9:$C$43=$A21)*(RefTable!$D$9:$D$43=$B21),0)))</f>
        <v>0</v>
      </c>
      <c r="E21" s="275">
        <f>C21*D21</f>
        <v>0</v>
      </c>
      <c r="H21" s="275">
        <f t="shared" si="2"/>
        <v>0</v>
      </c>
      <c r="I21" s="275">
        <f t="shared" si="2"/>
        <v>0</v>
      </c>
    </row>
    <row r="22" spans="1:9" x14ac:dyDescent="0.35">
      <c r="A22" s="206">
        <f>Inventory!A19</f>
        <v>0</v>
      </c>
      <c r="B22" s="206">
        <f>Inventory!C19</f>
        <v>0</v>
      </c>
      <c r="C22" s="284">
        <f>Inventory!H19</f>
        <v>0</v>
      </c>
      <c r="D22" s="125" t="str">
        <f t="array" ref="D22">IF(ISNA(INDEX(RefTable!$F$9:$F$43,MATCH(1,(RefTable!$C$9:$C$43=$A22)*(RefTable!$D$9:$D$43=$B22),0))),"0",INDEX(RefTable!$F$9:$F$43,MATCH(1,(RefTable!$C$9:$C$43=$A22)*(RefTable!$D$9:$D$43=$B22),0)))</f>
        <v>0</v>
      </c>
      <c r="E22" s="275">
        <f t="shared" ref="E22:E26" si="3">C22*D22</f>
        <v>0</v>
      </c>
      <c r="H22" s="275">
        <f t="shared" si="2"/>
        <v>0</v>
      </c>
      <c r="I22" s="275">
        <f t="shared" si="2"/>
        <v>0</v>
      </c>
    </row>
    <row r="23" spans="1:9" x14ac:dyDescent="0.35">
      <c r="A23" s="206">
        <f>Inventory!A20</f>
        <v>0</v>
      </c>
      <c r="B23" s="206">
        <f>Inventory!C20</f>
        <v>0</v>
      </c>
      <c r="C23" s="284">
        <f>Inventory!H20</f>
        <v>0</v>
      </c>
      <c r="D23" s="125" t="str">
        <f t="array" ref="D23">IF(ISNA(INDEX(RefTable!$F$9:$F$43,MATCH(1,(RefTable!$C$9:$C$43=$A23)*(RefTable!$D$9:$D$43=$B23),0))),"0",INDEX(RefTable!$F$9:$F$43,MATCH(1,(RefTable!$C$9:$C$43=$A23)*(RefTable!$D$9:$D$43=$B23),0)))</f>
        <v>0</v>
      </c>
      <c r="E23" s="275">
        <f t="shared" si="3"/>
        <v>0</v>
      </c>
      <c r="H23" s="275">
        <f t="shared" si="2"/>
        <v>0</v>
      </c>
      <c r="I23" s="275">
        <f t="shared" si="2"/>
        <v>0</v>
      </c>
    </row>
    <row r="24" spans="1:9" x14ac:dyDescent="0.35">
      <c r="A24" s="206">
        <f>Inventory!A21</f>
        <v>0</v>
      </c>
      <c r="B24" s="206">
        <f>Inventory!C21</f>
        <v>0</v>
      </c>
      <c r="C24" s="284">
        <f>Inventory!H21</f>
        <v>0</v>
      </c>
      <c r="D24" s="125" t="str">
        <f t="array" ref="D24">IF(ISNA(INDEX(RefTable!$F$9:$F$43,MATCH(1,(RefTable!$C$9:$C$43=$A24)*(RefTable!$D$9:$D$43=$B24),0))),"0",INDEX(RefTable!$F$9:$F$43,MATCH(1,(RefTable!$C$9:$C$43=$A24)*(RefTable!$D$9:$D$43=$B24),0)))</f>
        <v>0</v>
      </c>
      <c r="E24" s="275">
        <f t="shared" si="3"/>
        <v>0</v>
      </c>
      <c r="H24" s="275">
        <f t="shared" si="2"/>
        <v>0</v>
      </c>
      <c r="I24" s="275">
        <f t="shared" si="2"/>
        <v>0</v>
      </c>
    </row>
    <row r="25" spans="1:9" x14ac:dyDescent="0.35">
      <c r="A25" s="206">
        <f>Inventory!A22</f>
        <v>0</v>
      </c>
      <c r="B25" s="206">
        <f>Inventory!C22</f>
        <v>0</v>
      </c>
      <c r="C25" s="284">
        <f>Inventory!H22</f>
        <v>0</v>
      </c>
      <c r="D25" s="125" t="str">
        <f t="array" ref="D25">IF(ISNA(INDEX(RefTable!$F$9:$F$43,MATCH(1,(RefTable!$C$9:$C$43=$A25)*(RefTable!$D$9:$D$43=$B25),0))),"0",INDEX(RefTable!$F$9:$F$43,MATCH(1,(RefTable!$C$9:$C$43=$A25)*(RefTable!$D$9:$D$43=$B25),0)))</f>
        <v>0</v>
      </c>
      <c r="E25" s="275">
        <f t="shared" si="3"/>
        <v>0</v>
      </c>
    </row>
    <row r="26" spans="1:9" x14ac:dyDescent="0.35">
      <c r="A26" s="206">
        <f>Inventory!A23</f>
        <v>0</v>
      </c>
      <c r="B26" s="206">
        <f>Inventory!C23</f>
        <v>0</v>
      </c>
      <c r="C26" s="284">
        <f>Inventory!H23</f>
        <v>0</v>
      </c>
      <c r="D26" s="125" t="str">
        <f t="array" ref="D26">IF(ISNA(INDEX(RefTable!$F$9:$F$43,MATCH(1,(RefTable!$C$9:$C$43=$A26)*(RefTable!$D$9:$D$43=$B26),0))),"0",INDEX(RefTable!$F$9:$F$43,MATCH(1,(RefTable!$C$9:$C$43=$A26)*(RefTable!$D$9:$D$43=$B26),0)))</f>
        <v>0</v>
      </c>
      <c r="E26" s="275">
        <f t="shared" si="3"/>
        <v>0</v>
      </c>
    </row>
    <row r="27" spans="1:9" ht="15" thickBot="1" x14ac:dyDescent="0.4">
      <c r="D27" s="126" t="s">
        <v>151</v>
      </c>
      <c r="H27" t="s">
        <v>140</v>
      </c>
    </row>
    <row r="28" spans="1:9" ht="15.5" thickTop="1" thickBot="1" x14ac:dyDescent="0.4">
      <c r="D28" s="126" t="s">
        <v>152</v>
      </c>
      <c r="E28" s="276">
        <f>SUM(E21:E26)</f>
        <v>0</v>
      </c>
      <c r="H28" s="436" t="s">
        <v>137</v>
      </c>
      <c r="I28" s="437"/>
    </row>
    <row r="29" spans="1:9" ht="15" thickTop="1" x14ac:dyDescent="0.35">
      <c r="H29" s="432" t="s">
        <v>138</v>
      </c>
      <c r="I29" s="434" t="s">
        <v>139</v>
      </c>
    </row>
    <row r="30" spans="1:9" x14ac:dyDescent="0.35">
      <c r="H30" s="433"/>
      <c r="I30" s="435"/>
    </row>
    <row r="31" spans="1:9" x14ac:dyDescent="0.35">
      <c r="H31" s="275">
        <f>H19*4.3</f>
        <v>0</v>
      </c>
      <c r="I31" s="275">
        <f>I19*4.3</f>
        <v>0</v>
      </c>
    </row>
    <row r="32" spans="1:9" x14ac:dyDescent="0.35">
      <c r="H32" s="275">
        <f t="shared" ref="H32:I36" si="4">H20*4.3</f>
        <v>0</v>
      </c>
      <c r="I32" s="275">
        <f t="shared" si="4"/>
        <v>0</v>
      </c>
    </row>
    <row r="33" spans="7:10" x14ac:dyDescent="0.35">
      <c r="H33" s="275">
        <f t="shared" si="4"/>
        <v>0</v>
      </c>
      <c r="I33" s="275">
        <f t="shared" si="4"/>
        <v>0</v>
      </c>
    </row>
    <row r="34" spans="7:10" x14ac:dyDescent="0.35">
      <c r="H34" s="275">
        <f t="shared" si="4"/>
        <v>0</v>
      </c>
      <c r="I34" s="275">
        <f t="shared" si="4"/>
        <v>0</v>
      </c>
    </row>
    <row r="35" spans="7:10" x14ac:dyDescent="0.35">
      <c r="H35" s="275">
        <f t="shared" si="4"/>
        <v>0</v>
      </c>
      <c r="I35" s="275">
        <f t="shared" si="4"/>
        <v>0</v>
      </c>
    </row>
    <row r="36" spans="7:10" x14ac:dyDescent="0.35">
      <c r="H36" s="275">
        <f t="shared" si="4"/>
        <v>0</v>
      </c>
      <c r="I36" s="275">
        <f t="shared" si="4"/>
        <v>0</v>
      </c>
    </row>
    <row r="39" spans="7:10" ht="15" thickBot="1" x14ac:dyDescent="0.4">
      <c r="G39" s="284">
        <f>Inventory!G32</f>
        <v>0</v>
      </c>
      <c r="H39" t="s">
        <v>141</v>
      </c>
    </row>
    <row r="40" spans="7:10" ht="15.5" thickTop="1" thickBot="1" x14ac:dyDescent="0.4">
      <c r="H40" s="440" t="s">
        <v>142</v>
      </c>
      <c r="I40" s="441"/>
      <c r="J40" s="128" t="s">
        <v>158</v>
      </c>
    </row>
    <row r="41" spans="7:10" x14ac:dyDescent="0.35">
      <c r="H41" s="442" t="s">
        <v>143</v>
      </c>
      <c r="I41" s="434" t="s">
        <v>144</v>
      </c>
      <c r="J41" s="438" t="s">
        <v>354</v>
      </c>
    </row>
    <row r="42" spans="7:10" x14ac:dyDescent="0.35">
      <c r="H42" s="443"/>
      <c r="I42" s="435"/>
      <c r="J42" s="439"/>
    </row>
    <row r="43" spans="7:10" x14ac:dyDescent="0.35">
      <c r="H43" s="278">
        <f>H31*$G$39</f>
        <v>0</v>
      </c>
      <c r="I43" s="279">
        <f>I31*$G$39</f>
        <v>0</v>
      </c>
      <c r="J43" s="280">
        <f>H43*F8/100</f>
        <v>0</v>
      </c>
    </row>
    <row r="44" spans="7:10" x14ac:dyDescent="0.35">
      <c r="H44" s="278">
        <f t="shared" ref="H44:I48" si="5">H32*$G$39</f>
        <v>0</v>
      </c>
      <c r="I44" s="279">
        <f t="shared" si="5"/>
        <v>0</v>
      </c>
      <c r="J44" s="280">
        <f t="shared" ref="J44:J47" si="6">H44*F9/100</f>
        <v>0</v>
      </c>
    </row>
    <row r="45" spans="7:10" x14ac:dyDescent="0.35">
      <c r="H45" s="278">
        <f t="shared" si="5"/>
        <v>0</v>
      </c>
      <c r="I45" s="279">
        <f t="shared" si="5"/>
        <v>0</v>
      </c>
      <c r="J45" s="280">
        <f t="shared" si="6"/>
        <v>0</v>
      </c>
    </row>
    <row r="46" spans="7:10" x14ac:dyDescent="0.35">
      <c r="H46" s="278">
        <f t="shared" si="5"/>
        <v>0</v>
      </c>
      <c r="I46" s="279">
        <f t="shared" si="5"/>
        <v>0</v>
      </c>
      <c r="J46" s="280">
        <f t="shared" si="6"/>
        <v>0</v>
      </c>
    </row>
    <row r="47" spans="7:10" x14ac:dyDescent="0.35">
      <c r="H47" s="278">
        <f t="shared" si="5"/>
        <v>0</v>
      </c>
      <c r="I47" s="279">
        <f t="shared" si="5"/>
        <v>0</v>
      </c>
      <c r="J47" s="280">
        <f t="shared" si="6"/>
        <v>0</v>
      </c>
    </row>
    <row r="48" spans="7:10" ht="15" thickBot="1" x14ac:dyDescent="0.4">
      <c r="H48" s="281">
        <f t="shared" si="5"/>
        <v>0</v>
      </c>
      <c r="I48" s="282">
        <f t="shared" si="5"/>
        <v>0</v>
      </c>
      <c r="J48" s="283">
        <f>H48*F13/100</f>
        <v>0</v>
      </c>
    </row>
    <row r="49" spans="7:10" ht="15.5" thickTop="1" thickBot="1" x14ac:dyDescent="0.4">
      <c r="G49" s="126" t="s">
        <v>160</v>
      </c>
      <c r="H49" s="276">
        <f>SUM(H43:H48)</f>
        <v>0</v>
      </c>
      <c r="I49" s="276">
        <f t="shared" ref="I49" si="7">SUM(I43:I48)</f>
        <v>0</v>
      </c>
      <c r="J49" s="276">
        <f>SUM(J43:J48)</f>
        <v>0</v>
      </c>
    </row>
    <row r="50" spans="7:10" ht="15" thickTop="1" x14ac:dyDescent="0.35"/>
  </sheetData>
  <sheetProtection sheet="1" objects="1" scenarios="1"/>
  <mergeCells count="25">
    <mergeCell ref="J41:J42"/>
    <mergeCell ref="H40:I40"/>
    <mergeCell ref="H41:H42"/>
    <mergeCell ref="I41:I42"/>
    <mergeCell ref="A19:A20"/>
    <mergeCell ref="B19:B20"/>
    <mergeCell ref="C19:C20"/>
    <mergeCell ref="D18:D20"/>
    <mergeCell ref="E18:E20"/>
    <mergeCell ref="H16:I16"/>
    <mergeCell ref="H17:H18"/>
    <mergeCell ref="I17:I18"/>
    <mergeCell ref="H28:I28"/>
    <mergeCell ref="H29:H30"/>
    <mergeCell ref="I29:I30"/>
    <mergeCell ref="F6:F7"/>
    <mergeCell ref="G6:G7"/>
    <mergeCell ref="H6:H7"/>
    <mergeCell ref="I6:I7"/>
    <mergeCell ref="H5:I5"/>
    <mergeCell ref="C6:C7"/>
    <mergeCell ref="A6:A7"/>
    <mergeCell ref="B6:B7"/>
    <mergeCell ref="D6:D7"/>
    <mergeCell ref="E6:E7"/>
  </mergeCells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4">
    <tabColor theme="5" tint="0.59999389629810485"/>
  </sheetPr>
  <dimension ref="A1:Q91"/>
  <sheetViews>
    <sheetView topLeftCell="A79" zoomScaleNormal="100" workbookViewId="0">
      <selection activeCell="L35" sqref="L35"/>
    </sheetView>
  </sheetViews>
  <sheetFormatPr defaultColWidth="8.81640625" defaultRowHeight="14.5" x14ac:dyDescent="0.35"/>
  <cols>
    <col min="2" max="2" width="14" customWidth="1"/>
    <col min="3" max="3" width="13.453125" customWidth="1"/>
    <col min="4" max="5" width="13.81640625" customWidth="1"/>
    <col min="8" max="8" width="12.1796875" customWidth="1"/>
    <col min="9" max="9" width="11.1796875" customWidth="1"/>
    <col min="10" max="10" width="11.81640625" customWidth="1"/>
    <col min="11" max="11" width="13.1796875" customWidth="1"/>
    <col min="12" max="12" width="10.1796875" customWidth="1"/>
  </cols>
  <sheetData>
    <row r="1" spans="1:9" ht="18.5" x14ac:dyDescent="0.45">
      <c r="A1" s="211" t="s">
        <v>270</v>
      </c>
      <c r="B1" s="212"/>
      <c r="C1" s="212"/>
    </row>
    <row r="2" spans="1:9" x14ac:dyDescent="0.35">
      <c r="A2" t="s">
        <v>271</v>
      </c>
    </row>
    <row r="3" spans="1:9" x14ac:dyDescent="0.35">
      <c r="A3" s="26" t="s">
        <v>338</v>
      </c>
    </row>
    <row r="4" spans="1:9" x14ac:dyDescent="0.35">
      <c r="B4" t="s">
        <v>315</v>
      </c>
      <c r="I4" t="s">
        <v>269</v>
      </c>
    </row>
    <row r="5" spans="1:9" x14ac:dyDescent="0.35">
      <c r="I5" t="s">
        <v>268</v>
      </c>
    </row>
    <row r="19" spans="1:17" x14ac:dyDescent="0.35">
      <c r="H19" s="26" t="s">
        <v>154</v>
      </c>
    </row>
    <row r="20" spans="1:17" ht="15.75" customHeight="1" x14ac:dyDescent="0.35">
      <c r="H20" s="127" t="s">
        <v>156</v>
      </c>
    </row>
    <row r="21" spans="1:17" ht="15" customHeight="1" x14ac:dyDescent="0.35">
      <c r="H21" s="127" t="s">
        <v>155</v>
      </c>
    </row>
    <row r="23" spans="1:17" ht="15" thickBot="1" x14ac:dyDescent="0.4">
      <c r="A23" s="72"/>
      <c r="B23" s="72"/>
      <c r="C23" s="72"/>
      <c r="D23" s="72"/>
      <c r="E23" s="72"/>
      <c r="F23" s="72"/>
      <c r="G23" s="72"/>
      <c r="H23" s="72"/>
      <c r="I23" s="72"/>
      <c r="J23" s="72"/>
      <c r="K23" s="72"/>
      <c r="L23" s="72"/>
      <c r="M23" s="72"/>
      <c r="N23" s="72"/>
    </row>
    <row r="24" spans="1:17" ht="15" thickTop="1" x14ac:dyDescent="0.35">
      <c r="A24" s="129"/>
    </row>
    <row r="25" spans="1:17" ht="15" thickBot="1" x14ac:dyDescent="0.4">
      <c r="A25" s="129" t="s">
        <v>384</v>
      </c>
      <c r="E25" s="121">
        <v>12</v>
      </c>
      <c r="F25" t="s">
        <v>385</v>
      </c>
      <c r="K25" s="191"/>
    </row>
    <row r="26" spans="1:17" ht="15" thickBot="1" x14ac:dyDescent="0.4">
      <c r="A26" t="s">
        <v>181</v>
      </c>
      <c r="D26" s="132"/>
      <c r="E26" s="133"/>
      <c r="F26" s="134"/>
      <c r="G26" s="134"/>
      <c r="H26" s="75"/>
      <c r="J26" s="456" t="s">
        <v>303</v>
      </c>
      <c r="K26" s="192"/>
    </row>
    <row r="27" spans="1:17" ht="15" customHeight="1" x14ac:dyDescent="0.35">
      <c r="A27" s="130" t="s">
        <v>162</v>
      </c>
      <c r="D27" s="458" t="s">
        <v>293</v>
      </c>
      <c r="E27" s="458" t="s">
        <v>300</v>
      </c>
      <c r="F27" s="458" t="s">
        <v>301</v>
      </c>
      <c r="G27" s="454" t="s">
        <v>292</v>
      </c>
      <c r="H27" s="454" t="s">
        <v>299</v>
      </c>
      <c r="I27" s="456" t="s">
        <v>302</v>
      </c>
      <c r="J27" s="457"/>
      <c r="K27" s="52" t="s">
        <v>295</v>
      </c>
      <c r="L27" s="184" t="s">
        <v>298</v>
      </c>
      <c r="M27" s="185"/>
      <c r="N27" s="186"/>
    </row>
    <row r="28" spans="1:17" ht="15" thickBot="1" x14ac:dyDescent="0.4">
      <c r="A28" s="131" t="s">
        <v>161</v>
      </c>
      <c r="D28" s="459"/>
      <c r="E28" s="459"/>
      <c r="F28" s="459"/>
      <c r="G28" s="460"/>
      <c r="H28" s="455"/>
      <c r="I28" s="457"/>
      <c r="J28" s="457"/>
      <c r="L28" s="187" t="s">
        <v>296</v>
      </c>
      <c r="M28" s="6"/>
      <c r="N28" s="188"/>
    </row>
    <row r="29" spans="1:17" ht="15" thickBot="1" x14ac:dyDescent="0.4">
      <c r="A29" s="451" t="s">
        <v>294</v>
      </c>
      <c r="B29" s="452"/>
      <c r="C29" s="453"/>
      <c r="D29" s="210">
        <f>DeepBP_Facility!E28</f>
        <v>0</v>
      </c>
      <c r="E29" s="210">
        <f>D29/9</f>
        <v>0</v>
      </c>
      <c r="F29" s="121">
        <v>420</v>
      </c>
      <c r="G29" s="121">
        <v>5</v>
      </c>
      <c r="H29" s="170">
        <f>IFERROR(E29*((E25*1.2/12)/3),0)</f>
        <v>0</v>
      </c>
      <c r="I29" s="171">
        <f>H29*G29</f>
        <v>0</v>
      </c>
      <c r="J29" s="279">
        <f>H29*F29</f>
        <v>0</v>
      </c>
      <c r="L29" s="189" t="s">
        <v>297</v>
      </c>
      <c r="M29" s="175"/>
      <c r="N29" s="190"/>
    </row>
    <row r="30" spans="1:17" ht="15" thickBot="1" x14ac:dyDescent="0.4">
      <c r="A30" s="72"/>
      <c r="B30" s="72"/>
      <c r="C30" s="72"/>
      <c r="D30" s="72"/>
      <c r="E30" s="72"/>
      <c r="F30" s="72"/>
      <c r="G30" s="72"/>
      <c r="H30" s="72"/>
      <c r="I30" s="72"/>
      <c r="J30" s="72"/>
      <c r="K30" s="72"/>
      <c r="L30" s="72"/>
      <c r="M30" s="72"/>
      <c r="N30" s="72"/>
    </row>
    <row r="31" spans="1:17" ht="15.5" thickTop="1" thickBot="1" x14ac:dyDescent="0.4"/>
    <row r="32" spans="1:17" ht="15" customHeight="1" thickTop="1" x14ac:dyDescent="0.35">
      <c r="B32" s="75" t="s">
        <v>153</v>
      </c>
      <c r="L32" s="137"/>
      <c r="M32" s="126" t="s">
        <v>236</v>
      </c>
      <c r="N32" s="156" t="s">
        <v>188</v>
      </c>
      <c r="O32" s="62"/>
      <c r="P32" s="151"/>
      <c r="Q32" s="63"/>
    </row>
    <row r="33" spans="1:17" x14ac:dyDescent="0.35">
      <c r="C33" s="26" t="s">
        <v>183</v>
      </c>
      <c r="F33" s="136"/>
      <c r="L33" s="137"/>
      <c r="N33" s="155"/>
      <c r="O33" s="153" t="s">
        <v>67</v>
      </c>
      <c r="P33" s="6"/>
      <c r="Q33" s="67"/>
    </row>
    <row r="34" spans="1:17" ht="15" customHeight="1" x14ac:dyDescent="0.35">
      <c r="C34" s="449" t="s">
        <v>158</v>
      </c>
      <c r="D34" s="450"/>
      <c r="E34" s="123" t="s">
        <v>170</v>
      </c>
      <c r="F34" s="461" t="s">
        <v>171</v>
      </c>
      <c r="G34" s="462"/>
      <c r="H34" s="463"/>
      <c r="I34" s="470" t="s">
        <v>172</v>
      </c>
      <c r="J34" s="471"/>
      <c r="L34" s="137"/>
      <c r="N34" s="152"/>
      <c r="O34" s="153" t="s">
        <v>187</v>
      </c>
      <c r="P34" s="134"/>
      <c r="Q34" s="67"/>
    </row>
    <row r="35" spans="1:17" ht="15" thickBot="1" x14ac:dyDescent="0.4">
      <c r="F35" s="464"/>
      <c r="G35" s="465"/>
      <c r="H35" s="466"/>
      <c r="I35" s="472"/>
      <c r="J35" s="473"/>
      <c r="N35" s="154"/>
      <c r="O35" s="72" t="s">
        <v>237</v>
      </c>
      <c r="P35" s="72"/>
      <c r="Q35" s="73"/>
    </row>
    <row r="36" spans="1:17" ht="15" thickTop="1" x14ac:dyDescent="0.35">
      <c r="F36" s="464"/>
      <c r="G36" s="465"/>
      <c r="H36" s="466"/>
      <c r="I36" s="472"/>
      <c r="J36" s="473"/>
      <c r="M36" s="126" t="s">
        <v>238</v>
      </c>
      <c r="N36" s="76"/>
      <c r="O36" s="74"/>
      <c r="P36" s="75"/>
    </row>
    <row r="37" spans="1:17" x14ac:dyDescent="0.35">
      <c r="F37" s="467"/>
      <c r="G37" s="468"/>
      <c r="H37" s="469"/>
      <c r="I37" s="474"/>
      <c r="J37" s="475"/>
      <c r="N37" s="205"/>
      <c r="O37" s="74" t="s">
        <v>332</v>
      </c>
    </row>
    <row r="38" spans="1:17" x14ac:dyDescent="0.35">
      <c r="A38" t="s">
        <v>164</v>
      </c>
      <c r="N38" s="77"/>
      <c r="O38" s="74" t="s">
        <v>333</v>
      </c>
      <c r="P38" s="75"/>
    </row>
    <row r="39" spans="1:17" ht="15.75" customHeight="1" thickBot="1" x14ac:dyDescent="0.4">
      <c r="A39" s="26" t="s">
        <v>165</v>
      </c>
      <c r="N39" s="167" t="s">
        <v>334</v>
      </c>
    </row>
    <row r="40" spans="1:17" ht="15" customHeight="1" thickTop="1" thickBot="1" x14ac:dyDescent="0.4">
      <c r="A40" s="481" t="s">
        <v>166</v>
      </c>
      <c r="B40" s="481"/>
      <c r="C40" s="484" t="s">
        <v>343</v>
      </c>
      <c r="D40" s="484" t="s">
        <v>344</v>
      </c>
      <c r="E40" s="481" t="s">
        <v>342</v>
      </c>
      <c r="F40" s="492" t="s">
        <v>355</v>
      </c>
      <c r="G40" s="481" t="s">
        <v>349</v>
      </c>
      <c r="H40" s="481" t="s">
        <v>352</v>
      </c>
      <c r="I40" s="489" t="s">
        <v>353</v>
      </c>
      <c r="J40" s="476" t="s">
        <v>167</v>
      </c>
      <c r="K40" s="476" t="s">
        <v>351</v>
      </c>
      <c r="L40" s="476" t="s">
        <v>350</v>
      </c>
      <c r="N40" s="169"/>
      <c r="O40" s="74" t="s">
        <v>335</v>
      </c>
    </row>
    <row r="41" spans="1:17" ht="45" customHeight="1" thickTop="1" thickBot="1" x14ac:dyDescent="0.4">
      <c r="A41" s="482"/>
      <c r="B41" s="482"/>
      <c r="C41" s="485"/>
      <c r="D41" s="485"/>
      <c r="E41" s="487"/>
      <c r="F41" s="493"/>
      <c r="G41" s="482"/>
      <c r="H41" s="482"/>
      <c r="I41" s="490"/>
      <c r="J41" s="477"/>
      <c r="K41" s="477"/>
      <c r="L41" s="477"/>
    </row>
    <row r="42" spans="1:17" ht="8.25" customHeight="1" thickTop="1" thickBot="1" x14ac:dyDescent="0.4">
      <c r="A42" s="483"/>
      <c r="B42" s="483"/>
      <c r="C42" s="486"/>
      <c r="D42" s="486"/>
      <c r="E42" s="488"/>
      <c r="F42" s="494"/>
      <c r="G42" s="483"/>
      <c r="H42" s="483"/>
      <c r="I42" s="491"/>
      <c r="J42" s="478"/>
      <c r="K42" s="478"/>
      <c r="L42" s="478"/>
    </row>
    <row r="43" spans="1:17" ht="15" thickTop="1" x14ac:dyDescent="0.35">
      <c r="A43" s="479"/>
      <c r="B43" s="480"/>
      <c r="C43" s="345" t="str">
        <f>IFERROR(INDEX(RefTable!$B$51:$B$58,MATCH(A43,RefTable!$A$51:$A$58,0),0),"")</f>
        <v/>
      </c>
      <c r="D43" s="345" t="str">
        <f>IFERROR(INDEX(RefTable!$C$51:$C$58,MATCH(A43,RefTable!$A$51:$A$58,0),0),"")</f>
        <v/>
      </c>
      <c r="E43" s="213"/>
      <c r="F43" s="222" t="str">
        <f>IFERROR(INDEX(RefTable!$B$62:$B$73,MATCH(E43,RefTable!$D$62:$D$73,0),0),"")</f>
        <v/>
      </c>
      <c r="G43" s="285" t="str">
        <f>IFERROR(INDEX(RefTable!$C$62:$C$73,MATCH(E43,RefTable!$D$62:$D$73,0),0),"")</f>
        <v/>
      </c>
      <c r="H43" s="224" t="str">
        <f>IFERROR(INDEX(RefTable!$E$62:$E$73,MATCH(E43,RefTable!$D$62:$D$73,0),0),"")</f>
        <v/>
      </c>
      <c r="I43" s="121"/>
      <c r="J43" s="223" t="str">
        <f>IFERROR(I43*H43,"0")</f>
        <v>0</v>
      </c>
      <c r="K43" s="279" t="str">
        <f>IFERROR(I43*G43,"0")</f>
        <v>0</v>
      </c>
      <c r="L43" s="279" t="str">
        <f t="shared" ref="L43:L50" si="0">IFERROR(K43*C43/100,"0")</f>
        <v>0</v>
      </c>
    </row>
    <row r="44" spans="1:17" x14ac:dyDescent="0.35">
      <c r="A44" s="479"/>
      <c r="B44" s="480"/>
      <c r="C44" s="345" t="str">
        <f>IFERROR(INDEX(RefTable!$B$51:$B$58,MATCH(A44,RefTable!$A$51:$A$58,0),0),"")</f>
        <v/>
      </c>
      <c r="D44" s="345" t="str">
        <f>IFERROR(INDEX(RefTable!$C$51:$C$58,MATCH(A44,RefTable!$A$51:$A$58,0),0),"")</f>
        <v/>
      </c>
      <c r="E44" s="265"/>
      <c r="F44" s="222" t="str">
        <f>IFERROR(INDEX(RefTable!$B$62:$B$73,MATCH(E44,RefTable!$D$62:$D$73,0),0),"")</f>
        <v/>
      </c>
      <c r="G44" s="285" t="str">
        <f>IFERROR(INDEX(RefTable!$C$62:$C$73,MATCH(E44,RefTable!$D$62:$D$73,0),0),"")</f>
        <v/>
      </c>
      <c r="H44" s="224" t="str">
        <f>IFERROR(INDEX(RefTable!$E$62:$E$73,MATCH(E44,RefTable!$D$62:$D$73,0),0),"")</f>
        <v/>
      </c>
      <c r="I44" s="121"/>
      <c r="J44" s="223" t="str">
        <f>IFERROR(I44*H44,"0")</f>
        <v>0</v>
      </c>
      <c r="K44" s="279" t="str">
        <f>IFERROR(I44*G44,"0")</f>
        <v>0</v>
      </c>
      <c r="L44" s="279" t="str">
        <f t="shared" si="0"/>
        <v>0</v>
      </c>
    </row>
    <row r="45" spans="1:17" x14ac:dyDescent="0.35">
      <c r="A45" s="479"/>
      <c r="B45" s="480"/>
      <c r="C45" s="345" t="str">
        <f>IFERROR(INDEX(RefTable!$B$51:$B$58,MATCH(A45,RefTable!$A$51:$A$58,0),0),"")</f>
        <v/>
      </c>
      <c r="D45" s="345" t="str">
        <f>IFERROR(INDEX(RefTable!$C$51:$C$58,MATCH(A45,RefTable!$A$51:$A$58,0),0),"")</f>
        <v/>
      </c>
      <c r="E45" s="265"/>
      <c r="F45" s="222" t="str">
        <f>IFERROR(INDEX(RefTable!$B$62:$B$73,MATCH(E45,RefTable!$D$62:$D$73,0),0),"")</f>
        <v/>
      </c>
      <c r="G45" s="285" t="str">
        <f>IFERROR(INDEX(RefTable!$C$62:$C$73,MATCH(E45,RefTable!$D$62:$D$73,0),0),"")</f>
        <v/>
      </c>
      <c r="H45" s="224" t="str">
        <f>IFERROR(INDEX(RefTable!$E$62:$E$73,MATCH(E45,RefTable!$D$62:$D$73,0),0),"")</f>
        <v/>
      </c>
      <c r="I45" s="121"/>
      <c r="J45" s="223" t="str">
        <f t="shared" ref="J45:J50" si="1">IFERROR(I45*H45,"0")</f>
        <v>0</v>
      </c>
      <c r="K45" s="279" t="str">
        <f t="shared" ref="K45:K50" si="2">IFERROR(I45*G45,"0")</f>
        <v>0</v>
      </c>
      <c r="L45" s="279" t="str">
        <f t="shared" si="0"/>
        <v>0</v>
      </c>
    </row>
    <row r="46" spans="1:17" x14ac:dyDescent="0.35">
      <c r="A46" s="479"/>
      <c r="B46" s="480"/>
      <c r="C46" s="345" t="str">
        <f>IFERROR(INDEX(RefTable!$B$51:$B$58,MATCH(A46,RefTable!$A$51:$A$58,0),0),"")</f>
        <v/>
      </c>
      <c r="D46" s="345" t="str">
        <f>IFERROR(INDEX(RefTable!$C$51:$C$58,MATCH(A46,RefTable!$A$51:$A$58,0),0),"")</f>
        <v/>
      </c>
      <c r="E46" s="265"/>
      <c r="F46" s="222" t="str">
        <f>IFERROR(INDEX(RefTable!$B$62:$B$73,MATCH(E46,RefTable!$D$62:$D$73,0),0),"")</f>
        <v/>
      </c>
      <c r="G46" s="285" t="str">
        <f>IFERROR(INDEX(RefTable!$C$62:$C$73,MATCH(E46,RefTable!$D$62:$D$73,0),0),"")</f>
        <v/>
      </c>
      <c r="H46" s="224" t="str">
        <f>IFERROR(INDEX(RefTable!$E$62:$E$73,MATCH(E46,RefTable!$D$62:$D$73,0),0),"")</f>
        <v/>
      </c>
      <c r="I46" s="121"/>
      <c r="J46" s="223" t="str">
        <f t="shared" si="1"/>
        <v>0</v>
      </c>
      <c r="K46" s="279" t="str">
        <f t="shared" si="2"/>
        <v>0</v>
      </c>
      <c r="L46" s="279" t="str">
        <f t="shared" si="0"/>
        <v>0</v>
      </c>
    </row>
    <row r="47" spans="1:17" x14ac:dyDescent="0.35">
      <c r="A47" s="479"/>
      <c r="B47" s="480"/>
      <c r="C47" s="345" t="str">
        <f>IFERROR(INDEX(RefTable!$B$51:$B$58,MATCH(A47,RefTable!$A$51:$A$58,0),0),"")</f>
        <v/>
      </c>
      <c r="D47" s="345" t="str">
        <f>IFERROR(INDEX(RefTable!$C$51:$C$58,MATCH(A47,RefTable!$A$51:$A$58,0),0),"")</f>
        <v/>
      </c>
      <c r="E47" s="265"/>
      <c r="F47" s="222" t="str">
        <f>IFERROR(INDEX(RefTable!$B$62:$B$73,MATCH(E47,RefTable!$D$62:$D$73,0),0),"")</f>
        <v/>
      </c>
      <c r="G47" s="285" t="str">
        <f>IFERROR(INDEX(RefTable!$C$62:$C$73,MATCH(E47,RefTable!$D$62:$D$73,0),0),"")</f>
        <v/>
      </c>
      <c r="H47" s="224" t="str">
        <f>IFERROR(INDEX(RefTable!$E$62:$E$73,MATCH(E47,RefTable!$D$62:$D$73,0),0),"")</f>
        <v/>
      </c>
      <c r="I47" s="121"/>
      <c r="J47" s="223" t="str">
        <f t="shared" si="1"/>
        <v>0</v>
      </c>
      <c r="K47" s="279" t="str">
        <f t="shared" si="2"/>
        <v>0</v>
      </c>
      <c r="L47" s="279" t="str">
        <f t="shared" si="0"/>
        <v>0</v>
      </c>
    </row>
    <row r="48" spans="1:17" x14ac:dyDescent="0.35">
      <c r="A48" s="479"/>
      <c r="B48" s="480"/>
      <c r="C48" s="345" t="str">
        <f>IFERROR(INDEX(RefTable!$B$51:$B$58,MATCH(A48,RefTable!$A$51:$A$58,0),0),"")</f>
        <v/>
      </c>
      <c r="D48" s="345" t="str">
        <f>IFERROR(INDEX(RefTable!$C$51:$C$58,MATCH(A48,RefTable!$A$51:$A$58,0),0),"")</f>
        <v/>
      </c>
      <c r="E48" s="265"/>
      <c r="F48" s="222" t="str">
        <f>IFERROR(INDEX(RefTable!$B$62:$B$73,MATCH(E48,RefTable!$D$62:$D$73,0),0),"")</f>
        <v/>
      </c>
      <c r="G48" s="285" t="str">
        <f>IFERROR(INDEX(RefTable!$C$62:$C$73,MATCH(E48,RefTable!$D$62:$D$73,0),0),"")</f>
        <v/>
      </c>
      <c r="H48" s="224" t="str">
        <f>IFERROR(INDEX(RefTable!$E$62:$E$73,MATCH(E48,RefTable!$D$62:$D$73,0),0),"")</f>
        <v/>
      </c>
      <c r="I48" s="121"/>
      <c r="J48" s="223" t="str">
        <f t="shared" si="1"/>
        <v>0</v>
      </c>
      <c r="K48" s="279" t="str">
        <f t="shared" si="2"/>
        <v>0</v>
      </c>
      <c r="L48" s="279" t="str">
        <f t="shared" si="0"/>
        <v>0</v>
      </c>
    </row>
    <row r="49" spans="1:12" x14ac:dyDescent="0.35">
      <c r="A49" s="479"/>
      <c r="B49" s="480"/>
      <c r="C49" s="345" t="str">
        <f>IFERROR(INDEX(RefTable!$B$51:$B$58,MATCH(A49,RefTable!$A$51:$A$58,0),0),"")</f>
        <v/>
      </c>
      <c r="D49" s="345" t="str">
        <f>IFERROR(INDEX(RefTable!$C$51:$C$58,MATCH(A49,RefTable!$A$51:$A$58,0),0),"")</f>
        <v/>
      </c>
      <c r="E49" s="265"/>
      <c r="F49" s="222" t="str">
        <f>IFERROR(INDEX(RefTable!$B$62:$B$73,MATCH(E49,RefTable!$D$62:$D$73,0),0),"")</f>
        <v/>
      </c>
      <c r="G49" s="285" t="str">
        <f>IFERROR(INDEX(RefTable!$C$62:$C$73,MATCH(E49,RefTable!$D$62:$D$73,0),0),"")</f>
        <v/>
      </c>
      <c r="H49" s="224" t="str">
        <f>IFERROR(INDEX(RefTable!$E$62:$E$73,MATCH(E49,RefTable!$D$62:$D$73,0),0),"")</f>
        <v/>
      </c>
      <c r="I49" s="121"/>
      <c r="J49" s="223" t="str">
        <f t="shared" si="1"/>
        <v>0</v>
      </c>
      <c r="K49" s="279" t="str">
        <f t="shared" si="2"/>
        <v>0</v>
      </c>
      <c r="L49" s="279" t="str">
        <f t="shared" si="0"/>
        <v>0</v>
      </c>
    </row>
    <row r="50" spans="1:12" ht="15" thickBot="1" x14ac:dyDescent="0.4">
      <c r="A50" s="479"/>
      <c r="B50" s="480"/>
      <c r="C50" s="345" t="str">
        <f>IFERROR(INDEX(RefTable!$B$51:$B$58,MATCH(A50,RefTable!$A$51:$A$58,0),0),"")</f>
        <v/>
      </c>
      <c r="D50" s="345" t="str">
        <f>IFERROR(INDEX(RefTable!$C$51:$C$58,MATCH(A50,RefTable!$A$51:$A$58,0),0),"")</f>
        <v/>
      </c>
      <c r="E50" s="265"/>
      <c r="F50" s="222" t="str">
        <f>IFERROR(INDEX(RefTable!$B$62:$B$73,MATCH(E50,RefTable!$D$62:$D$73,0),0),"")</f>
        <v/>
      </c>
      <c r="G50" s="285" t="str">
        <f>IFERROR(INDEX(RefTable!$C$62:$C$73,MATCH(E50,RefTable!$D$62:$D$73,0),0),"")</f>
        <v/>
      </c>
      <c r="H50" s="224" t="str">
        <f>IFERROR(INDEX(RefTable!$E$62:$E$73,MATCH(E50,RefTable!$D$62:$D$73,0),0),"")</f>
        <v/>
      </c>
      <c r="I50" s="121"/>
      <c r="J50" s="223" t="str">
        <f t="shared" si="1"/>
        <v>0</v>
      </c>
      <c r="K50" s="279" t="str">
        <f t="shared" si="2"/>
        <v>0</v>
      </c>
      <c r="L50" s="279" t="str">
        <f t="shared" si="0"/>
        <v>0</v>
      </c>
    </row>
    <row r="51" spans="1:12" ht="15.5" thickTop="1" thickBot="1" x14ac:dyDescent="0.4">
      <c r="D51" s="225" t="s">
        <v>376</v>
      </c>
      <c r="I51" s="126" t="s">
        <v>168</v>
      </c>
      <c r="J51" s="172">
        <f>SUM(J43:J50)</f>
        <v>0</v>
      </c>
      <c r="K51" s="276">
        <f>SUM(K43:K50)</f>
        <v>0</v>
      </c>
      <c r="L51" s="276">
        <f>SUM(L43:L50)</f>
        <v>0</v>
      </c>
    </row>
    <row r="52" spans="1:12" ht="15" thickTop="1" x14ac:dyDescent="0.35">
      <c r="D52" s="304">
        <f>IFERROR((SUMPRODUCT(D43:D50,K43:K50))/K51,0)</f>
        <v>0</v>
      </c>
    </row>
    <row r="53" spans="1:12" x14ac:dyDescent="0.35">
      <c r="D53" s="245"/>
    </row>
    <row r="54" spans="1:12" ht="15.5" x14ac:dyDescent="0.35">
      <c r="C54" s="135" t="s">
        <v>169</v>
      </c>
    </row>
    <row r="58" spans="1:12" x14ac:dyDescent="0.35">
      <c r="K58" s="242"/>
    </row>
    <row r="59" spans="1:12" x14ac:dyDescent="0.35">
      <c r="I59" s="138" t="s">
        <v>339</v>
      </c>
      <c r="J59" s="295">
        <f>DeepBP_Facility!H49</f>
        <v>0</v>
      </c>
    </row>
    <row r="60" spans="1:12" x14ac:dyDescent="0.35">
      <c r="I60" s="138" t="s">
        <v>174</v>
      </c>
      <c r="J60" s="295">
        <f>DeepBP_Facility!J49</f>
        <v>0</v>
      </c>
    </row>
    <row r="61" spans="1:12" x14ac:dyDescent="0.35">
      <c r="J61" s="296"/>
    </row>
    <row r="62" spans="1:12" x14ac:dyDescent="0.35">
      <c r="I62" s="52" t="s">
        <v>340</v>
      </c>
      <c r="J62" s="295">
        <f>K51</f>
        <v>0</v>
      </c>
    </row>
    <row r="63" spans="1:12" x14ac:dyDescent="0.35">
      <c r="I63" s="52" t="s">
        <v>341</v>
      </c>
      <c r="J63" s="295">
        <f>L51</f>
        <v>0</v>
      </c>
    </row>
    <row r="65" spans="1:12" ht="15" thickBot="1" x14ac:dyDescent="0.4"/>
    <row r="66" spans="1:12" ht="15.5" thickTop="1" thickBot="1" x14ac:dyDescent="0.4">
      <c r="A66" s="139" t="s">
        <v>177</v>
      </c>
      <c r="B66" s="140"/>
      <c r="C66" s="57"/>
      <c r="D66" s="139" t="s">
        <v>178</v>
      </c>
      <c r="H66" s="173" t="str">
        <f t="array" ref="H66">IF(ISERR(((J60+J63)/(J59+J62))*100),"",(((J60+J63)/(J59+J62))*100))</f>
        <v/>
      </c>
      <c r="I66" s="26" t="s">
        <v>179</v>
      </c>
    </row>
    <row r="67" spans="1:12" ht="15" thickTop="1" x14ac:dyDescent="0.35">
      <c r="G67" s="52" t="s">
        <v>189</v>
      </c>
      <c r="H67" s="141" t="str">
        <f>IF(H66&lt;=63.01,"Bedding Quantity OK","More Bedding Is Needed!")</f>
        <v>More Bedding Is Needed!</v>
      </c>
    </row>
    <row r="68" spans="1:12" ht="15" thickBot="1" x14ac:dyDescent="0.4"/>
    <row r="69" spans="1:12" ht="15.5" thickTop="1" thickBot="1" x14ac:dyDescent="0.4">
      <c r="J69" s="126" t="s">
        <v>180</v>
      </c>
      <c r="K69" s="172">
        <f>I29+J51</f>
        <v>0</v>
      </c>
    </row>
    <row r="70" spans="1:12" ht="15" thickTop="1" x14ac:dyDescent="0.35"/>
    <row r="71" spans="1:12" x14ac:dyDescent="0.35">
      <c r="D71" s="26" t="s">
        <v>363</v>
      </c>
      <c r="K71" s="225"/>
      <c r="L71" s="225"/>
    </row>
    <row r="72" spans="1:12" x14ac:dyDescent="0.35">
      <c r="E72" t="s">
        <v>365</v>
      </c>
      <c r="K72" s="243"/>
    </row>
    <row r="73" spans="1:12" ht="15" thickBot="1" x14ac:dyDescent="0.4">
      <c r="H73" t="s">
        <v>389</v>
      </c>
    </row>
    <row r="74" spans="1:12" ht="15" thickBot="1" x14ac:dyDescent="0.4">
      <c r="H74" s="244"/>
      <c r="I74" s="226" t="s">
        <v>364</v>
      </c>
      <c r="J74" s="227"/>
    </row>
    <row r="75" spans="1:12" ht="15" thickBot="1" x14ac:dyDescent="0.4">
      <c r="C75" t="s">
        <v>366</v>
      </c>
      <c r="F75" s="297">
        <f>J59-J60</f>
        <v>0</v>
      </c>
      <c r="H75" s="376" t="s">
        <v>368</v>
      </c>
      <c r="I75" s="377"/>
      <c r="J75" s="378"/>
    </row>
    <row r="76" spans="1:12" ht="15.5" thickTop="1" thickBot="1" x14ac:dyDescent="0.4">
      <c r="C76" t="s">
        <v>372</v>
      </c>
      <c r="D76" t="s">
        <v>373</v>
      </c>
      <c r="F76" s="298">
        <f>F75*46.8/100</f>
        <v>0</v>
      </c>
      <c r="H76" s="376" t="s">
        <v>369</v>
      </c>
      <c r="I76" s="377"/>
      <c r="J76" s="378"/>
    </row>
    <row r="77" spans="1:12" ht="15" thickBot="1" x14ac:dyDescent="0.4">
      <c r="D77" t="s">
        <v>374</v>
      </c>
      <c r="F77" s="299">
        <f>F75*2.6/100</f>
        <v>0</v>
      </c>
      <c r="H77" s="495" t="s">
        <v>367</v>
      </c>
      <c r="I77" s="496"/>
      <c r="J77" s="497"/>
    </row>
    <row r="78" spans="1:12" ht="15.5" thickTop="1" thickBot="1" x14ac:dyDescent="0.4">
      <c r="F78" s="296"/>
    </row>
    <row r="79" spans="1:12" ht="15" thickBot="1" x14ac:dyDescent="0.4">
      <c r="C79" t="s">
        <v>375</v>
      </c>
      <c r="F79" s="297">
        <f>J62-J63</f>
        <v>0</v>
      </c>
      <c r="H79" t="s">
        <v>388</v>
      </c>
    </row>
    <row r="80" spans="1:12" ht="15.5" thickTop="1" thickBot="1" x14ac:dyDescent="0.4">
      <c r="C80" t="s">
        <v>371</v>
      </c>
      <c r="D80" t="s">
        <v>373</v>
      </c>
      <c r="F80" s="298">
        <f>J81*F79/100</f>
        <v>0</v>
      </c>
      <c r="H80" s="244" t="s">
        <v>377</v>
      </c>
      <c r="I80" s="2"/>
      <c r="J80" s="246">
        <f>D52</f>
        <v>0</v>
      </c>
    </row>
    <row r="81" spans="2:14" ht="15" thickBot="1" x14ac:dyDescent="0.4">
      <c r="D81" t="s">
        <v>374</v>
      </c>
      <c r="F81" s="299">
        <f>F79*1/100</f>
        <v>0</v>
      </c>
      <c r="H81" s="231" t="s">
        <v>379</v>
      </c>
      <c r="I81" s="6"/>
      <c r="J81" s="248">
        <f>J80*1</f>
        <v>0</v>
      </c>
    </row>
    <row r="82" spans="2:14" ht="15.5" thickTop="1" thickBot="1" x14ac:dyDescent="0.4">
      <c r="H82" s="231" t="s">
        <v>378</v>
      </c>
      <c r="I82" s="6"/>
      <c r="J82" s="233"/>
    </row>
    <row r="83" spans="2:14" ht="15" thickBot="1" x14ac:dyDescent="0.4">
      <c r="D83" s="250" t="s">
        <v>380</v>
      </c>
      <c r="E83" s="247"/>
      <c r="F83" s="249">
        <f>IFERROR((F76+F80)/(F77+F81),0)</f>
        <v>0</v>
      </c>
      <c r="G83" s="26" t="s">
        <v>381</v>
      </c>
      <c r="H83" s="495" t="s">
        <v>367</v>
      </c>
      <c r="I83" s="496"/>
      <c r="J83" s="497"/>
    </row>
    <row r="85" spans="2:14" ht="15" thickBot="1" x14ac:dyDescent="0.4">
      <c r="H85" t="s">
        <v>370</v>
      </c>
    </row>
    <row r="86" spans="2:14" ht="15" thickTop="1" x14ac:dyDescent="0.35">
      <c r="B86" s="253" t="s">
        <v>362</v>
      </c>
      <c r="C86" s="62"/>
      <c r="D86" s="62"/>
      <c r="E86" s="62"/>
      <c r="F86" s="62"/>
      <c r="G86" s="62"/>
      <c r="H86" s="62"/>
      <c r="I86" s="63"/>
      <c r="J86" s="6"/>
      <c r="K86" s="6"/>
      <c r="L86" s="6"/>
      <c r="M86" s="6"/>
      <c r="N86" s="6"/>
    </row>
    <row r="87" spans="2:14" x14ac:dyDescent="0.35">
      <c r="B87" s="64" t="s">
        <v>382</v>
      </c>
      <c r="C87" s="6"/>
      <c r="D87" s="6"/>
      <c r="E87" s="6"/>
      <c r="F87" s="6"/>
      <c r="G87" s="6"/>
      <c r="H87" s="6"/>
      <c r="I87" s="67"/>
      <c r="J87" s="6"/>
      <c r="K87" s="6"/>
      <c r="L87" s="6"/>
      <c r="M87" s="6"/>
      <c r="N87" s="6"/>
    </row>
    <row r="88" spans="2:14" ht="15" thickBot="1" x14ac:dyDescent="0.4">
      <c r="B88" s="154" t="s">
        <v>383</v>
      </c>
      <c r="C88" s="72"/>
      <c r="D88" s="72"/>
      <c r="E88" s="72"/>
      <c r="F88" s="72"/>
      <c r="G88" s="72"/>
      <c r="H88" s="72"/>
      <c r="I88" s="73"/>
      <c r="J88" s="6"/>
      <c r="K88" s="6"/>
      <c r="L88" s="6"/>
      <c r="M88" s="6"/>
      <c r="N88" s="6"/>
    </row>
    <row r="89" spans="2:14" ht="15" thickTop="1" x14ac:dyDescent="0.35">
      <c r="B89" s="26" t="s">
        <v>386</v>
      </c>
    </row>
    <row r="90" spans="2:14" x14ac:dyDescent="0.35">
      <c r="B90" s="26" t="s">
        <v>387</v>
      </c>
    </row>
    <row r="91" spans="2:14" x14ac:dyDescent="0.35">
      <c r="B91" s="26" t="s">
        <v>429</v>
      </c>
    </row>
  </sheetData>
  <sheetProtection sheet="1" objects="1" scenarios="1"/>
  <mergeCells count="34">
    <mergeCell ref="H77:J77"/>
    <mergeCell ref="H83:J83"/>
    <mergeCell ref="H76:J76"/>
    <mergeCell ref="H75:J75"/>
    <mergeCell ref="A46:B46"/>
    <mergeCell ref="A47:B47"/>
    <mergeCell ref="A48:B48"/>
    <mergeCell ref="A49:B49"/>
    <mergeCell ref="A50:B50"/>
    <mergeCell ref="L40:L42"/>
    <mergeCell ref="A43:B43"/>
    <mergeCell ref="A44:B44"/>
    <mergeCell ref="A45:B45"/>
    <mergeCell ref="A40:B42"/>
    <mergeCell ref="C40:C42"/>
    <mergeCell ref="E40:E42"/>
    <mergeCell ref="G40:G42"/>
    <mergeCell ref="H40:H42"/>
    <mergeCell ref="I40:I42"/>
    <mergeCell ref="J40:J42"/>
    <mergeCell ref="K40:K42"/>
    <mergeCell ref="D40:D42"/>
    <mergeCell ref="F40:F42"/>
    <mergeCell ref="C34:D34"/>
    <mergeCell ref="A29:C29"/>
    <mergeCell ref="H27:H28"/>
    <mergeCell ref="I27:I28"/>
    <mergeCell ref="J26:J28"/>
    <mergeCell ref="D27:D28"/>
    <mergeCell ref="E27:E28"/>
    <mergeCell ref="F27:F28"/>
    <mergeCell ref="G27:G28"/>
    <mergeCell ref="F34:H37"/>
    <mergeCell ref="I34:J37"/>
  </mergeCells>
  <pageMargins left="0.25" right="0.25" top="0.75" bottom="0.75" header="0.3" footer="0.3"/>
  <pageSetup scale="70" orientation="portrait" r:id="rId1"/>
  <drawing r:id="rId2"/>
  <legacyDrawing r:id="rId3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00000000-0002-0000-0400-000000000000}">
          <x14:formula1>
            <xm:f>RefTable!$A$51:$A$58</xm:f>
          </x14:formula1>
          <xm:sqref>A43:B50</xm:sqref>
        </x14:dataValidation>
        <x14:dataValidation type="list" allowBlank="1" showInputMessage="1" showErrorMessage="1" xr:uid="{00000000-0002-0000-0400-000001000000}">
          <x14:formula1>
            <xm:f>RefTable!$D$62:$D$73</xm:f>
          </x14:formula1>
          <xm:sqref>E43:E50</xm:sqref>
        </x14:dataValidation>
      </x14:dataValidation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8">
    <tabColor theme="2" tint="-9.9978637043366805E-2"/>
  </sheetPr>
  <dimension ref="A1:N63"/>
  <sheetViews>
    <sheetView showZeros="0" topLeftCell="C43" workbookViewId="0">
      <selection activeCell="C36" sqref="C36"/>
    </sheetView>
  </sheetViews>
  <sheetFormatPr defaultColWidth="8.81640625" defaultRowHeight="14.5" x14ac:dyDescent="0.35"/>
  <cols>
    <col min="1" max="1" width="25.453125" customWidth="1"/>
    <col min="2" max="2" width="30.453125" customWidth="1"/>
    <col min="3" max="3" width="14.1796875" customWidth="1"/>
    <col min="4" max="4" width="13" customWidth="1"/>
    <col min="5" max="6" width="12.453125" customWidth="1"/>
    <col min="7" max="7" width="12.81640625" customWidth="1"/>
    <col min="8" max="9" width="16.453125" customWidth="1"/>
    <col min="10" max="10" width="18.81640625" customWidth="1"/>
  </cols>
  <sheetData>
    <row r="1" spans="1:14" ht="15" thickBot="1" x14ac:dyDescent="0.4">
      <c r="A1" s="118" t="s">
        <v>117</v>
      </c>
    </row>
    <row r="2" spans="1:14" ht="15" thickTop="1" x14ac:dyDescent="0.35">
      <c r="A2" s="118" t="s">
        <v>360</v>
      </c>
      <c r="J2" s="126" t="s">
        <v>236</v>
      </c>
      <c r="K2" s="156" t="s">
        <v>188</v>
      </c>
      <c r="L2" s="62"/>
      <c r="M2" s="151"/>
      <c r="N2" s="63"/>
    </row>
    <row r="3" spans="1:14" x14ac:dyDescent="0.35">
      <c r="A3" t="s">
        <v>425</v>
      </c>
      <c r="K3" s="155"/>
      <c r="L3" s="153" t="s">
        <v>67</v>
      </c>
      <c r="M3" s="6"/>
      <c r="N3" s="67"/>
    </row>
    <row r="4" spans="1:14" ht="15" thickBot="1" x14ac:dyDescent="0.4">
      <c r="K4" s="152"/>
      <c r="L4" s="153" t="s">
        <v>187</v>
      </c>
      <c r="M4" s="134"/>
      <c r="N4" s="67"/>
    </row>
    <row r="5" spans="1:14" ht="15" thickBot="1" x14ac:dyDescent="0.4">
      <c r="A5" s="26" t="s">
        <v>145</v>
      </c>
      <c r="H5" s="436" t="s">
        <v>133</v>
      </c>
      <c r="I5" s="437"/>
      <c r="K5" s="154"/>
      <c r="L5" s="72" t="s">
        <v>237</v>
      </c>
      <c r="M5" s="72"/>
      <c r="N5" s="73"/>
    </row>
    <row r="6" spans="1:14" ht="15" customHeight="1" x14ac:dyDescent="0.35">
      <c r="A6" s="426" t="s">
        <v>125</v>
      </c>
      <c r="B6" s="426" t="s">
        <v>6</v>
      </c>
      <c r="C6" s="424" t="s">
        <v>124</v>
      </c>
      <c r="D6" s="424" t="s">
        <v>118</v>
      </c>
      <c r="E6" s="424" t="s">
        <v>119</v>
      </c>
      <c r="F6" s="428" t="s">
        <v>120</v>
      </c>
      <c r="G6" s="430" t="s">
        <v>121</v>
      </c>
      <c r="H6" s="432" t="s">
        <v>122</v>
      </c>
      <c r="I6" s="434" t="s">
        <v>123</v>
      </c>
      <c r="J6" s="126" t="s">
        <v>238</v>
      </c>
      <c r="K6" s="76"/>
      <c r="L6" s="74"/>
      <c r="M6" s="75"/>
    </row>
    <row r="7" spans="1:14" x14ac:dyDescent="0.35">
      <c r="A7" s="427"/>
      <c r="B7" s="427"/>
      <c r="C7" s="425"/>
      <c r="D7" s="425"/>
      <c r="E7" s="425"/>
      <c r="F7" s="429"/>
      <c r="G7" s="431"/>
      <c r="H7" s="433"/>
      <c r="I7" s="435"/>
      <c r="K7" s="205"/>
      <c r="L7" s="74" t="s">
        <v>332</v>
      </c>
    </row>
    <row r="8" spans="1:14" x14ac:dyDescent="0.35">
      <c r="A8" s="206">
        <f>Inventory!A18</f>
        <v>0</v>
      </c>
      <c r="B8" s="206">
        <f>Inventory!C18</f>
        <v>0</v>
      </c>
      <c r="C8" s="207">
        <f>Inventory!K18</f>
        <v>0</v>
      </c>
      <c r="D8" s="124" t="str">
        <f t="array" ref="D8">IF(ISNA(INDEX(RefTable!$G$9:$G$43,MATCH(1,(RefTable!$C$9:$C$43=$A8)*(RefTable!$D$9:$D$43=$B8),0))),"0",INDEX(RefTable!$G$9:$G$43,MATCH(1,(RefTable!$C$9:$C$43=$A8)*(RefTable!$D$9:$D$43=$B8),0)))</f>
        <v>0</v>
      </c>
      <c r="E8" s="124" t="str">
        <f t="array" ref="E8">IF(ISNA(INDEX(RefTable!$H$9:$H$43,MATCH(1,(RefTable!$C$9:$C$43=$A8)*(RefTable!$D$9:$D$43=$B8),0))),"0",INDEX(RefTable!$H$9:$H$43,MATCH(1,(RefTable!$C$9:$C$43=$A8)*(RefTable!$D$9:$D$43=$B8),0)))</f>
        <v>0</v>
      </c>
      <c r="F8" s="124" t="str">
        <f t="array" ref="F8">IF(ISNA(INDEX(RefTable!$I$9:$I$43,MATCH(1,(RefTable!$C$9:$C$43=$A8)*(RefTable!$D$9:$D$43=$B8),0))),"0",INDEX(RefTable!$I$9:$I$43,MATCH(1,(RefTable!$C$9:$C$43=$A8)*(RefTable!$D$9:$D$43=$B8),0)))</f>
        <v>0</v>
      </c>
      <c r="G8" s="208">
        <f>Inventory!D30</f>
        <v>0</v>
      </c>
      <c r="H8" s="275">
        <f>C8*D8*G8/24</f>
        <v>0</v>
      </c>
      <c r="I8" s="277">
        <f>C8*E8*G8/24</f>
        <v>0</v>
      </c>
      <c r="K8" s="77"/>
      <c r="L8" s="74" t="s">
        <v>333</v>
      </c>
      <c r="M8" s="75"/>
    </row>
    <row r="9" spans="1:14" x14ac:dyDescent="0.35">
      <c r="A9" s="206">
        <f>Inventory!A19</f>
        <v>0</v>
      </c>
      <c r="B9" s="206">
        <f>Inventory!C19</f>
        <v>0</v>
      </c>
      <c r="C9" s="207">
        <f>Inventory!K19</f>
        <v>0</v>
      </c>
      <c r="D9" s="124" t="str">
        <f t="array" ref="D9">IF(ISNA(INDEX(RefTable!$G$9:$G$43,MATCH(1,(RefTable!$C$9:$C$43=$A9)*(RefTable!$D$9:$D$43=$B9),0))),"0",INDEX(RefTable!$G$9:$G$43,MATCH(1,(RefTable!$C$9:$C$43=$A9)*(RefTable!$D$9:$D$43=$B9),0)))</f>
        <v>0</v>
      </c>
      <c r="E9" s="124" t="str">
        <f t="array" ref="E9">IF(ISNA(INDEX(RefTable!$H$9:$H$43,MATCH(1,(RefTable!$C$9:$C$43=$A9)*(RefTable!$D$9:$D$43=$B9),0))),"0",INDEX(RefTable!$H$9:$H$43,MATCH(1,(RefTable!$C$9:$C$43=$A9)*(RefTable!$D$9:$D$43=$B9),0)))</f>
        <v>0</v>
      </c>
      <c r="F9" s="124" t="str">
        <f t="array" ref="F9">IF(ISNA(INDEX(RefTable!$I$9:$I$43,MATCH(1,(RefTable!$C$9:$C$43=$A9)*(RefTable!$D$9:$D$43=$B9),0))),"0",INDEX(RefTable!$I$9:$I$43,MATCH(1,(RefTable!$C$9:$C$43=$A9)*(RefTable!$D$9:$D$43=$B9),0)))</f>
        <v>0</v>
      </c>
      <c r="G9" s="208">
        <f>Inventory!D31</f>
        <v>0</v>
      </c>
      <c r="H9" s="275">
        <f t="shared" ref="H9:H13" si="0">C9*D9*G9/24</f>
        <v>0</v>
      </c>
      <c r="I9" s="277">
        <f t="shared" ref="I9:I13" si="1">C9*E9*G9/24</f>
        <v>0</v>
      </c>
      <c r="K9" s="167" t="s">
        <v>334</v>
      </c>
    </row>
    <row r="10" spans="1:14" x14ac:dyDescent="0.35">
      <c r="A10" s="206">
        <f>Inventory!A20</f>
        <v>0</v>
      </c>
      <c r="B10" s="206">
        <f>Inventory!C20</f>
        <v>0</v>
      </c>
      <c r="C10" s="207">
        <f>Inventory!K20</f>
        <v>0</v>
      </c>
      <c r="D10" s="124" t="str">
        <f t="array" ref="D10">IF(ISNA(INDEX(RefTable!$G$9:$G$43,MATCH(1,(RefTable!$C$9:$C$43=$A10)*(RefTable!$D$9:$D$43=$B10),0))),"0",INDEX(RefTable!$G$9:$G$43,MATCH(1,(RefTable!$C$9:$C$43=$A10)*(RefTable!$D$9:$D$43=$B10),0)))</f>
        <v>0</v>
      </c>
      <c r="E10" s="124" t="str">
        <f t="array" ref="E10">IF(ISNA(INDEX(RefTable!$H$9:$H$43,MATCH(1,(RefTable!$C$9:$C$43=$A10)*(RefTable!$D$9:$D$43=$B10),0))),"0",INDEX(RefTable!$H$9:$H$43,MATCH(1,(RefTable!$C$9:$C$43=$A10)*(RefTable!$D$9:$D$43=$B10),0)))</f>
        <v>0</v>
      </c>
      <c r="F10" s="124" t="str">
        <f t="array" ref="F10">IF(ISNA(INDEX(RefTable!$I$9:$I$43,MATCH(1,(RefTable!$C$9:$C$43=$A10)*(RefTable!$D$9:$D$43=$B10),0))),"0",INDEX(RefTable!$I$9:$I$43,MATCH(1,(RefTable!$C$9:$C$43=$A10)*(RefTable!$D$9:$D$43=$B10),0)))</f>
        <v>0</v>
      </c>
      <c r="G10" s="208">
        <f>Inventory!D32</f>
        <v>0</v>
      </c>
      <c r="H10" s="275">
        <f t="shared" si="0"/>
        <v>0</v>
      </c>
      <c r="I10" s="277">
        <f t="shared" si="1"/>
        <v>0</v>
      </c>
      <c r="K10" s="169"/>
      <c r="L10" s="74" t="s">
        <v>335</v>
      </c>
    </row>
    <row r="11" spans="1:14" x14ac:dyDescent="0.35">
      <c r="A11" s="206">
        <f>Inventory!A21</f>
        <v>0</v>
      </c>
      <c r="B11" s="206">
        <f>Inventory!C21</f>
        <v>0</v>
      </c>
      <c r="C11" s="207">
        <f>Inventory!K21</f>
        <v>0</v>
      </c>
      <c r="D11" s="124" t="str">
        <f t="array" ref="D11">IF(ISNA(INDEX(RefTable!$G$9:$G$43,MATCH(1,(RefTable!$C$9:$C$43=$A11)*(RefTable!$D$9:$D$43=$B11),0))),"0",INDEX(RefTable!$G$9:$G$43,MATCH(1,(RefTable!$C$9:$C$43=$A11)*(RefTable!$D$9:$D$43=$B11),0)))</f>
        <v>0</v>
      </c>
      <c r="E11" s="124" t="str">
        <f t="array" ref="E11">IF(ISNA(INDEX(RefTable!$H$9:$H$43,MATCH(1,(RefTable!$C$9:$C$43=$A11)*(RefTable!$D$9:$D$43=$B11),0))),"0",INDEX(RefTable!$H$9:$H$43,MATCH(1,(RefTable!$C$9:$C$43=$A11)*(RefTable!$D$9:$D$43=$B11),0)))</f>
        <v>0</v>
      </c>
      <c r="F11" s="124" t="str">
        <f t="array" ref="F11">IF(ISNA(INDEX(RefTable!$I$9:$I$43,MATCH(1,(RefTable!$C$9:$C$43=$A11)*(RefTable!$D$9:$D$43=$B11),0))),"0",INDEX(RefTable!$I$9:$I$43,MATCH(1,(RefTable!$C$9:$C$43=$A11)*(RefTable!$D$9:$D$43=$B11),0)))</f>
        <v>0</v>
      </c>
      <c r="G11" s="208">
        <f>Inventory!D33</f>
        <v>0</v>
      </c>
      <c r="H11" s="275">
        <f t="shared" si="0"/>
        <v>0</v>
      </c>
      <c r="I11" s="277">
        <f t="shared" si="1"/>
        <v>0</v>
      </c>
    </row>
    <row r="12" spans="1:14" x14ac:dyDescent="0.35">
      <c r="A12" s="206">
        <f>Inventory!A22</f>
        <v>0</v>
      </c>
      <c r="B12" s="206">
        <f>Inventory!C22</f>
        <v>0</v>
      </c>
      <c r="C12" s="207">
        <f>Inventory!K22</f>
        <v>0</v>
      </c>
      <c r="D12" s="124" t="str">
        <f t="array" ref="D12">IF(ISNA(INDEX(RefTable!$G$9:$G$43,MATCH(1,(RefTable!$C$9:$C$43=$A12)*(RefTable!$D$9:$D$43=$B12),0))),"0",INDEX(RefTable!$G$9:$G$43,MATCH(1,(RefTable!$C$9:$C$43=$A12)*(RefTable!$D$9:$D$43=$B12),0)))</f>
        <v>0</v>
      </c>
      <c r="E12" s="124" t="str">
        <f t="array" ref="E12">IF(ISNA(INDEX(RefTable!$H$9:$H$43,MATCH(1,(RefTable!$C$9:$C$43=$A12)*(RefTable!$D$9:$D$43=$B12),0))),"0",INDEX(RefTable!$H$9:$H$43,MATCH(1,(RefTable!$C$9:$C$43=$A12)*(RefTable!$D$9:$D$43=$B12),0)))</f>
        <v>0</v>
      </c>
      <c r="F12" s="124" t="str">
        <f t="array" ref="F12">IF(ISNA(INDEX(RefTable!$I$9:$I$43,MATCH(1,(RefTable!$C$9:$C$43=$A12)*(RefTable!$D$9:$D$43=$B12),0))),"0",INDEX(RefTable!$I$9:$I$43,MATCH(1,(RefTable!$C$9:$C$43=$A12)*(RefTable!$D$9:$D$43=$B12),0)))</f>
        <v>0</v>
      </c>
      <c r="G12" s="208">
        <f>Inventory!D34</f>
        <v>0</v>
      </c>
      <c r="H12" s="275">
        <f t="shared" si="0"/>
        <v>0</v>
      </c>
      <c r="I12" s="277">
        <f t="shared" si="1"/>
        <v>0</v>
      </c>
    </row>
    <row r="13" spans="1:14" x14ac:dyDescent="0.35">
      <c r="A13" s="206">
        <f>Inventory!A23</f>
        <v>0</v>
      </c>
      <c r="B13" s="206">
        <f>Inventory!C23</f>
        <v>0</v>
      </c>
      <c r="C13" s="207">
        <f>Inventory!K23</f>
        <v>0</v>
      </c>
      <c r="D13" s="124" t="str">
        <f t="array" ref="D13">IF(ISNA(INDEX(RefTable!$G$9:$G$43,MATCH(1,(RefTable!$C$9:$C$43=$A13)*(RefTable!$D$9:$D$43=$B13),0))),"0",INDEX(RefTable!$G$9:$G$43,MATCH(1,(RefTable!$C$9:$C$43=$A13)*(RefTable!$D$9:$D$43=$B13),0)))</f>
        <v>0</v>
      </c>
      <c r="E13" s="124" t="str">
        <f t="array" ref="E13">IF(ISNA(INDEX(RefTable!$H$9:$H$43,MATCH(1,(RefTable!$C$9:$C$43=$A13)*(RefTable!$D$9:$D$43=$B13),0))),"0",INDEX(RefTable!$H$9:$H$43,MATCH(1,(RefTable!$C$9:$C$43=$A13)*(RefTable!$D$9:$D$43=$B13),0)))</f>
        <v>0</v>
      </c>
      <c r="F13" s="124" t="str">
        <f t="array" ref="F13">IF(ISNA(INDEX(RefTable!$I$9:$I$43,MATCH(1,(RefTable!$C$9:$C$43=$A13)*(RefTable!$D$9:$D$43=$B13),0))),"0",INDEX(RefTable!$I$9:$I$43,MATCH(1,(RefTable!$C$9:$C$43=$A13)*(RefTable!$D$9:$D$43=$B13),0)))</f>
        <v>0</v>
      </c>
      <c r="G13" s="208">
        <f>Inventory!D35</f>
        <v>0</v>
      </c>
      <c r="H13" s="275">
        <f t="shared" si="0"/>
        <v>0</v>
      </c>
      <c r="I13" s="277">
        <f t="shared" si="1"/>
        <v>0</v>
      </c>
    </row>
    <row r="15" spans="1:14" ht="15" thickBot="1" x14ac:dyDescent="0.4"/>
    <row r="16" spans="1:14" ht="15" thickBot="1" x14ac:dyDescent="0.4">
      <c r="H16" s="436" t="s">
        <v>134</v>
      </c>
      <c r="I16" s="437"/>
    </row>
    <row r="17" spans="1:11" ht="15" thickBot="1" x14ac:dyDescent="0.4">
      <c r="H17" s="432" t="s">
        <v>136</v>
      </c>
      <c r="I17" s="434" t="s">
        <v>135</v>
      </c>
    </row>
    <row r="18" spans="1:11" ht="15" thickBot="1" x14ac:dyDescent="0.4">
      <c r="A18" s="26" t="s">
        <v>146</v>
      </c>
      <c r="D18" s="498" t="s">
        <v>250</v>
      </c>
      <c r="E18" s="501" t="s">
        <v>361</v>
      </c>
      <c r="F18" s="446" t="s">
        <v>149</v>
      </c>
      <c r="H18" s="433"/>
      <c r="I18" s="435"/>
    </row>
    <row r="19" spans="1:11" x14ac:dyDescent="0.35">
      <c r="A19" s="426" t="s">
        <v>150</v>
      </c>
      <c r="B19" s="426" t="s">
        <v>6</v>
      </c>
      <c r="C19" s="444" t="s">
        <v>147</v>
      </c>
      <c r="D19" s="499"/>
      <c r="E19" s="447"/>
      <c r="F19" s="447"/>
      <c r="H19" s="275">
        <f>H8*7</f>
        <v>0</v>
      </c>
      <c r="I19" s="275">
        <f>I8*7</f>
        <v>0</v>
      </c>
    </row>
    <row r="20" spans="1:11" ht="15" thickBot="1" x14ac:dyDescent="0.4">
      <c r="A20" s="427"/>
      <c r="B20" s="427"/>
      <c r="C20" s="445"/>
      <c r="D20" s="500"/>
      <c r="E20" s="448"/>
      <c r="F20" s="448"/>
      <c r="H20" s="275">
        <f t="shared" ref="H20:I24" si="2">H9*7</f>
        <v>0</v>
      </c>
      <c r="I20" s="275">
        <f t="shared" si="2"/>
        <v>0</v>
      </c>
    </row>
    <row r="21" spans="1:11" x14ac:dyDescent="0.35">
      <c r="A21" s="206">
        <f>Inventory!A18</f>
        <v>0</v>
      </c>
      <c r="B21" s="206">
        <f>Inventory!C18</f>
        <v>0</v>
      </c>
      <c r="C21" s="284">
        <f>Inventory!H18</f>
        <v>0</v>
      </c>
      <c r="D21" s="125" t="str">
        <f t="array" ref="D21">IF(ISNA(INDEX(RefTable!$F$9:$F$43,MATCH(1,(RefTable!$C$9:$C$43=$A21)*(RefTable!$D$9:$D$43=$B21),0))),"0",INDEX(RefTable!$F$9:$F$43,MATCH(1,(RefTable!$C$9:$C$43=$A21)*(RefTable!$D$9:$D$43=$B21),0)))</f>
        <v>0</v>
      </c>
      <c r="E21" s="121"/>
      <c r="F21" s="275">
        <f>C21*(D21-E21)</f>
        <v>0</v>
      </c>
      <c r="H21" s="275">
        <f t="shared" si="2"/>
        <v>0</v>
      </c>
      <c r="I21" s="275">
        <f t="shared" si="2"/>
        <v>0</v>
      </c>
    </row>
    <row r="22" spans="1:11" x14ac:dyDescent="0.35">
      <c r="A22" s="206">
        <f>Inventory!A19</f>
        <v>0</v>
      </c>
      <c r="B22" s="206">
        <f>Inventory!C19</f>
        <v>0</v>
      </c>
      <c r="C22" s="284">
        <f>Inventory!H19</f>
        <v>0</v>
      </c>
      <c r="D22" s="125" t="str">
        <f t="array" ref="D22">IF(ISNA(INDEX(RefTable!$F$9:$F$43,MATCH(1,(RefTable!$C$9:$C$43=$A22)*(RefTable!$D$9:$D$43=$B22),0))),"0",INDEX(RefTable!$F$9:$F$43,MATCH(1,(RefTable!$C$9:$C$43=$A22)*(RefTable!$D$9:$D$43=$B22),0)))</f>
        <v>0</v>
      </c>
      <c r="E22" s="121"/>
      <c r="F22" s="275">
        <f t="shared" ref="F22:F26" si="3">C22*(D22-E22)</f>
        <v>0</v>
      </c>
      <c r="H22" s="275">
        <f t="shared" si="2"/>
        <v>0</v>
      </c>
      <c r="I22" s="275">
        <f t="shared" si="2"/>
        <v>0</v>
      </c>
    </row>
    <row r="23" spans="1:11" x14ac:dyDescent="0.35">
      <c r="A23" s="206">
        <f>Inventory!A20</f>
        <v>0</v>
      </c>
      <c r="B23" s="206">
        <f>Inventory!C20</f>
        <v>0</v>
      </c>
      <c r="C23" s="284">
        <f>Inventory!H20</f>
        <v>0</v>
      </c>
      <c r="D23" s="125" t="str">
        <f t="array" ref="D23">IF(ISNA(INDEX(RefTable!$F$9:$F$43,MATCH(1,(RefTable!$C$9:$C$43=$A23)*(RefTable!$D$9:$D$43=$B23),0))),"0",INDEX(RefTable!$F$9:$F$43,MATCH(1,(RefTable!$C$9:$C$43=$A23)*(RefTable!$D$9:$D$43=$B23),0)))</f>
        <v>0</v>
      </c>
      <c r="E23" s="121"/>
      <c r="F23" s="275">
        <f t="shared" si="3"/>
        <v>0</v>
      </c>
      <c r="H23" s="275">
        <f t="shared" si="2"/>
        <v>0</v>
      </c>
      <c r="I23" s="275">
        <f t="shared" si="2"/>
        <v>0</v>
      </c>
    </row>
    <row r="24" spans="1:11" x14ac:dyDescent="0.35">
      <c r="A24" s="206">
        <f>Inventory!A21</f>
        <v>0</v>
      </c>
      <c r="B24" s="206">
        <f>Inventory!C21</f>
        <v>0</v>
      </c>
      <c r="C24" s="284">
        <f>Inventory!H21</f>
        <v>0</v>
      </c>
      <c r="D24" s="125" t="str">
        <f t="array" ref="D24">IF(ISNA(INDEX(RefTable!$F$9:$F$43,MATCH(1,(RefTable!$C$9:$C$43=$A24)*(RefTable!$D$9:$D$43=$B24),0))),"0",INDEX(RefTable!$F$9:$F$43,MATCH(1,(RefTable!$C$9:$C$43=$A24)*(RefTable!$D$9:$D$43=$B24),0)))</f>
        <v>0</v>
      </c>
      <c r="E24" s="121"/>
      <c r="F24" s="275">
        <f t="shared" si="3"/>
        <v>0</v>
      </c>
      <c r="H24" s="275">
        <f t="shared" si="2"/>
        <v>0</v>
      </c>
      <c r="I24" s="275">
        <f t="shared" si="2"/>
        <v>0</v>
      </c>
    </row>
    <row r="25" spans="1:11" x14ac:dyDescent="0.35">
      <c r="A25" s="206">
        <f>Inventory!A22</f>
        <v>0</v>
      </c>
      <c r="B25" s="206">
        <f>Inventory!C22</f>
        <v>0</v>
      </c>
      <c r="C25" s="284">
        <f>Inventory!H22</f>
        <v>0</v>
      </c>
      <c r="D25" s="125" t="str">
        <f t="array" ref="D25">IF(ISNA(INDEX(RefTable!$F$9:$F$43,MATCH(1,(RefTable!$C$9:$C$43=$A25)*(RefTable!$D$9:$D$43=$B25),0))),"0",INDEX(RefTable!$F$9:$F$43,MATCH(1,(RefTable!$C$9:$C$43=$A25)*(RefTable!$D$9:$D$43=$B25),0)))</f>
        <v>0</v>
      </c>
      <c r="E25" s="121"/>
      <c r="F25" s="275">
        <f t="shared" si="3"/>
        <v>0</v>
      </c>
    </row>
    <row r="26" spans="1:11" x14ac:dyDescent="0.35">
      <c r="A26" s="206">
        <f>Inventory!A23</f>
        <v>0</v>
      </c>
      <c r="B26" s="206">
        <f>Inventory!C23</f>
        <v>0</v>
      </c>
      <c r="C26" s="284">
        <f>Inventory!H23</f>
        <v>0</v>
      </c>
      <c r="D26" s="125" t="str">
        <f t="array" ref="D26">IF(ISNA(INDEX(RefTable!$F$9:$F$43,MATCH(1,(RefTable!$C$9:$C$43=$A26)*(RefTable!$D$9:$D$43=$B26),0))),"0",INDEX(RefTable!$F$9:$F$43,MATCH(1,(RefTable!$C$9:$C$43=$A26)*(RefTable!$D$9:$D$43=$B26),0)))</f>
        <v>0</v>
      </c>
      <c r="E26" s="121"/>
      <c r="F26" s="275">
        <f t="shared" si="3"/>
        <v>0</v>
      </c>
    </row>
    <row r="27" spans="1:11" ht="15" thickBot="1" x14ac:dyDescent="0.4">
      <c r="E27" s="126" t="s">
        <v>249</v>
      </c>
      <c r="H27" t="s">
        <v>140</v>
      </c>
    </row>
    <row r="28" spans="1:11" ht="15.5" thickTop="1" thickBot="1" x14ac:dyDescent="0.4">
      <c r="E28" s="126" t="s">
        <v>152</v>
      </c>
      <c r="F28" s="276">
        <f>SUM(F21:F26)</f>
        <v>0</v>
      </c>
      <c r="H28" s="436" t="s">
        <v>137</v>
      </c>
      <c r="I28" s="437"/>
    </row>
    <row r="29" spans="1:11" ht="15" thickTop="1" x14ac:dyDescent="0.35">
      <c r="H29" s="432" t="s">
        <v>138</v>
      </c>
      <c r="I29" s="434" t="s">
        <v>139</v>
      </c>
      <c r="K29" t="s">
        <v>258</v>
      </c>
    </row>
    <row r="30" spans="1:11" x14ac:dyDescent="0.35">
      <c r="A30" s="52" t="s">
        <v>255</v>
      </c>
      <c r="B30" t="s">
        <v>251</v>
      </c>
      <c r="H30" s="433"/>
      <c r="I30" s="435"/>
      <c r="K30" t="s">
        <v>259</v>
      </c>
    </row>
    <row r="31" spans="1:11" ht="16.5" x14ac:dyDescent="0.35">
      <c r="B31" s="26" t="s">
        <v>336</v>
      </c>
      <c r="C31" s="178"/>
      <c r="D31" s="178"/>
      <c r="H31" s="275">
        <f>H19*4.3</f>
        <v>0</v>
      </c>
      <c r="I31" s="275">
        <f>I19*4.3</f>
        <v>0</v>
      </c>
      <c r="K31" s="178">
        <v>6</v>
      </c>
    </row>
    <row r="32" spans="1:11" x14ac:dyDescent="0.35">
      <c r="B32" t="s">
        <v>254</v>
      </c>
      <c r="C32" s="178">
        <v>2</v>
      </c>
      <c r="D32" s="178"/>
      <c r="H32" s="275">
        <f t="shared" ref="H32:I36" si="4">H20*4.3</f>
        <v>0</v>
      </c>
      <c r="I32" s="275">
        <f t="shared" si="4"/>
        <v>0</v>
      </c>
      <c r="K32" s="178">
        <v>5</v>
      </c>
    </row>
    <row r="33" spans="2:11" x14ac:dyDescent="0.35">
      <c r="B33" t="s">
        <v>337</v>
      </c>
      <c r="C33" s="178">
        <v>6</v>
      </c>
      <c r="H33" s="275">
        <f t="shared" si="4"/>
        <v>0</v>
      </c>
      <c r="I33" s="275">
        <f t="shared" si="4"/>
        <v>0</v>
      </c>
      <c r="K33" s="178">
        <v>4</v>
      </c>
    </row>
    <row r="34" spans="2:11" x14ac:dyDescent="0.35">
      <c r="B34" s="52" t="s">
        <v>253</v>
      </c>
      <c r="C34" s="179">
        <f>C32*C33</f>
        <v>12</v>
      </c>
      <c r="H34" s="275">
        <f t="shared" si="4"/>
        <v>0</v>
      </c>
      <c r="I34" s="275">
        <f t="shared" si="4"/>
        <v>0</v>
      </c>
      <c r="K34" s="178">
        <v>3</v>
      </c>
    </row>
    <row r="35" spans="2:11" x14ac:dyDescent="0.35">
      <c r="H35" s="275">
        <f t="shared" si="4"/>
        <v>0</v>
      </c>
      <c r="I35" s="275">
        <f t="shared" si="4"/>
        <v>0</v>
      </c>
      <c r="K35" s="178">
        <v>2</v>
      </c>
    </row>
    <row r="36" spans="2:11" x14ac:dyDescent="0.35">
      <c r="B36" s="52" t="s">
        <v>257</v>
      </c>
      <c r="C36" s="294"/>
      <c r="H36" s="275">
        <f t="shared" si="4"/>
        <v>0</v>
      </c>
      <c r="I36" s="275">
        <f t="shared" si="4"/>
        <v>0</v>
      </c>
    </row>
    <row r="37" spans="2:11" x14ac:dyDescent="0.35">
      <c r="B37" s="52" t="s">
        <v>260</v>
      </c>
      <c r="C37" s="180">
        <f>C36/24</f>
        <v>0</v>
      </c>
    </row>
    <row r="39" spans="2:11" ht="15" thickBot="1" x14ac:dyDescent="0.4">
      <c r="G39" s="284">
        <f>Inventory!G32</f>
        <v>0</v>
      </c>
      <c r="H39" t="s">
        <v>141</v>
      </c>
    </row>
    <row r="40" spans="2:11" ht="15.5" thickTop="1" thickBot="1" x14ac:dyDescent="0.4">
      <c r="H40" s="440" t="s">
        <v>142</v>
      </c>
      <c r="I40" s="441"/>
      <c r="J40" s="128" t="s">
        <v>158</v>
      </c>
    </row>
    <row r="41" spans="2:11" x14ac:dyDescent="0.35">
      <c r="H41" s="442" t="s">
        <v>143</v>
      </c>
      <c r="I41" s="434" t="s">
        <v>144</v>
      </c>
      <c r="J41" s="438" t="s">
        <v>159</v>
      </c>
    </row>
    <row r="42" spans="2:11" x14ac:dyDescent="0.35">
      <c r="H42" s="443"/>
      <c r="I42" s="435"/>
      <c r="J42" s="439"/>
    </row>
    <row r="43" spans="2:11" x14ac:dyDescent="0.35">
      <c r="H43" s="278">
        <f>H31*$G$39</f>
        <v>0</v>
      </c>
      <c r="I43" s="279">
        <f t="shared" ref="H43:I48" si="5">I31*$G$39</f>
        <v>0</v>
      </c>
      <c r="J43" s="280">
        <f>H43*F8/100</f>
        <v>0</v>
      </c>
    </row>
    <row r="44" spans="2:11" x14ac:dyDescent="0.35">
      <c r="H44" s="278">
        <f t="shared" si="5"/>
        <v>0</v>
      </c>
      <c r="I44" s="279">
        <f t="shared" si="5"/>
        <v>0</v>
      </c>
      <c r="J44" s="280">
        <f t="shared" ref="J44:J47" si="6">H44*F9/100</f>
        <v>0</v>
      </c>
    </row>
    <row r="45" spans="2:11" x14ac:dyDescent="0.35">
      <c r="H45" s="278">
        <f t="shared" si="5"/>
        <v>0</v>
      </c>
      <c r="I45" s="279">
        <f t="shared" si="5"/>
        <v>0</v>
      </c>
      <c r="J45" s="280">
        <f t="shared" si="6"/>
        <v>0</v>
      </c>
    </row>
    <row r="46" spans="2:11" x14ac:dyDescent="0.35">
      <c r="H46" s="278">
        <f t="shared" si="5"/>
        <v>0</v>
      </c>
      <c r="I46" s="279">
        <f t="shared" si="5"/>
        <v>0</v>
      </c>
      <c r="J46" s="280">
        <f t="shared" si="6"/>
        <v>0</v>
      </c>
    </row>
    <row r="47" spans="2:11" x14ac:dyDescent="0.35">
      <c r="H47" s="278">
        <f t="shared" si="5"/>
        <v>0</v>
      </c>
      <c r="I47" s="279">
        <f t="shared" si="5"/>
        <v>0</v>
      </c>
      <c r="J47" s="280">
        <f t="shared" si="6"/>
        <v>0</v>
      </c>
    </row>
    <row r="48" spans="2:11" ht="15" thickBot="1" x14ac:dyDescent="0.4">
      <c r="H48" s="281">
        <f t="shared" si="5"/>
        <v>0</v>
      </c>
      <c r="I48" s="282">
        <f t="shared" si="5"/>
        <v>0</v>
      </c>
      <c r="J48" s="283">
        <f>H48*F13/100</f>
        <v>0</v>
      </c>
    </row>
    <row r="49" spans="6:10" ht="15.5" thickTop="1" thickBot="1" x14ac:dyDescent="0.4">
      <c r="G49" s="126" t="s">
        <v>160</v>
      </c>
      <c r="H49" s="276">
        <f>SUM(H43:H48)</f>
        <v>0</v>
      </c>
      <c r="I49" s="276">
        <f t="shared" ref="I49" si="7">SUM(I43:I48)</f>
        <v>0</v>
      </c>
      <c r="J49" s="276">
        <f>SUM(J43:J48)</f>
        <v>0</v>
      </c>
    </row>
    <row r="50" spans="6:10" ht="15" thickTop="1" x14ac:dyDescent="0.35"/>
    <row r="51" spans="6:10" x14ac:dyDescent="0.35">
      <c r="F51" s="26" t="s">
        <v>265</v>
      </c>
    </row>
    <row r="52" spans="6:10" ht="15" thickBot="1" x14ac:dyDescent="0.4">
      <c r="F52" s="52" t="s">
        <v>261</v>
      </c>
      <c r="G52" s="209">
        <f>C37</f>
        <v>0</v>
      </c>
      <c r="H52" t="s">
        <v>261</v>
      </c>
    </row>
    <row r="53" spans="6:10" ht="15.5" thickTop="1" thickBot="1" x14ac:dyDescent="0.4">
      <c r="F53" s="126" t="s">
        <v>266</v>
      </c>
      <c r="G53" s="181" t="s">
        <v>262</v>
      </c>
      <c r="H53" s="441" t="s">
        <v>267</v>
      </c>
      <c r="I53" s="441"/>
      <c r="J53" s="128" t="s">
        <v>263</v>
      </c>
    </row>
    <row r="54" spans="6:10" ht="15" customHeight="1" x14ac:dyDescent="0.35">
      <c r="G54" s="504" t="s">
        <v>264</v>
      </c>
      <c r="H54" s="502" t="s">
        <v>143</v>
      </c>
      <c r="I54" s="434" t="s">
        <v>144</v>
      </c>
      <c r="J54" s="438" t="s">
        <v>159</v>
      </c>
    </row>
    <row r="55" spans="6:10" x14ac:dyDescent="0.35">
      <c r="G55" s="477"/>
      <c r="H55" s="503"/>
      <c r="I55" s="435"/>
      <c r="J55" s="439"/>
    </row>
    <row r="56" spans="6:10" x14ac:dyDescent="0.35">
      <c r="G56" s="287">
        <f>I43*$G$52</f>
        <v>0</v>
      </c>
      <c r="H56" s="288">
        <f>H43*(1-$G$52)</f>
        <v>0</v>
      </c>
      <c r="I56" s="279">
        <f>I43-G56</f>
        <v>0</v>
      </c>
      <c r="J56" s="280">
        <f>H56*F8/100</f>
        <v>0</v>
      </c>
    </row>
    <row r="57" spans="6:10" x14ac:dyDescent="0.35">
      <c r="G57" s="287">
        <f t="shared" ref="G57:G62" si="8">I44*$G$52</f>
        <v>0</v>
      </c>
      <c r="H57" s="288">
        <f t="shared" ref="H57:H62" si="9">H44*(1-$G$52)</f>
        <v>0</v>
      </c>
      <c r="I57" s="279">
        <f t="shared" ref="I57:I62" si="10">I44-G57</f>
        <v>0</v>
      </c>
      <c r="J57" s="280">
        <f t="shared" ref="J57:J61" si="11">H57*F9/100</f>
        <v>0</v>
      </c>
    </row>
    <row r="58" spans="6:10" x14ac:dyDescent="0.35">
      <c r="G58" s="287">
        <f t="shared" si="8"/>
        <v>0</v>
      </c>
      <c r="H58" s="288">
        <f t="shared" si="9"/>
        <v>0</v>
      </c>
      <c r="I58" s="279">
        <f t="shared" si="10"/>
        <v>0</v>
      </c>
      <c r="J58" s="280">
        <f t="shared" si="11"/>
        <v>0</v>
      </c>
    </row>
    <row r="59" spans="6:10" x14ac:dyDescent="0.35">
      <c r="G59" s="287">
        <f t="shared" si="8"/>
        <v>0</v>
      </c>
      <c r="H59" s="288">
        <f t="shared" si="9"/>
        <v>0</v>
      </c>
      <c r="I59" s="279">
        <f t="shared" si="10"/>
        <v>0</v>
      </c>
      <c r="J59" s="280">
        <f t="shared" si="11"/>
        <v>0</v>
      </c>
    </row>
    <row r="60" spans="6:10" x14ac:dyDescent="0.35">
      <c r="G60" s="287">
        <f t="shared" si="8"/>
        <v>0</v>
      </c>
      <c r="H60" s="288">
        <f t="shared" si="9"/>
        <v>0</v>
      </c>
      <c r="I60" s="279">
        <f t="shared" si="10"/>
        <v>0</v>
      </c>
      <c r="J60" s="280">
        <f t="shared" si="11"/>
        <v>0</v>
      </c>
    </row>
    <row r="61" spans="6:10" ht="15" thickBot="1" x14ac:dyDescent="0.4">
      <c r="G61" s="289">
        <f t="shared" si="8"/>
        <v>0</v>
      </c>
      <c r="H61" s="290">
        <f t="shared" si="9"/>
        <v>0</v>
      </c>
      <c r="I61" s="279">
        <f t="shared" si="10"/>
        <v>0</v>
      </c>
      <c r="J61" s="291">
        <f t="shared" si="11"/>
        <v>0</v>
      </c>
    </row>
    <row r="62" spans="6:10" ht="15.5" thickTop="1" thickBot="1" x14ac:dyDescent="0.4">
      <c r="F62" s="126" t="s">
        <v>160</v>
      </c>
      <c r="G62" s="292">
        <f t="shared" si="8"/>
        <v>0</v>
      </c>
      <c r="H62" s="293">
        <f t="shared" si="9"/>
        <v>0</v>
      </c>
      <c r="I62" s="276">
        <f t="shared" si="10"/>
        <v>0</v>
      </c>
      <c r="J62" s="276">
        <f>SUM(J56:J61)</f>
        <v>0</v>
      </c>
    </row>
    <row r="63" spans="6:10" ht="15" thickTop="1" x14ac:dyDescent="0.35"/>
  </sheetData>
  <sheetProtection sheet="1" objects="1" scenarios="1"/>
  <mergeCells count="31">
    <mergeCell ref="H53:I53"/>
    <mergeCell ref="H54:H55"/>
    <mergeCell ref="I54:I55"/>
    <mergeCell ref="J54:J55"/>
    <mergeCell ref="G54:G55"/>
    <mergeCell ref="D18:D20"/>
    <mergeCell ref="F18:F20"/>
    <mergeCell ref="J41:J42"/>
    <mergeCell ref="H28:I28"/>
    <mergeCell ref="H29:H30"/>
    <mergeCell ref="I29:I30"/>
    <mergeCell ref="H40:I40"/>
    <mergeCell ref="H41:H42"/>
    <mergeCell ref="I41:I42"/>
    <mergeCell ref="E18:E20"/>
    <mergeCell ref="A19:A20"/>
    <mergeCell ref="B19:B20"/>
    <mergeCell ref="C19:C20"/>
    <mergeCell ref="H5:I5"/>
    <mergeCell ref="A6:A7"/>
    <mergeCell ref="B6:B7"/>
    <mergeCell ref="C6:C7"/>
    <mergeCell ref="D6:D7"/>
    <mergeCell ref="E6:E7"/>
    <mergeCell ref="F6:F7"/>
    <mergeCell ref="G6:G7"/>
    <mergeCell ref="H6:H7"/>
    <mergeCell ref="I6:I7"/>
    <mergeCell ref="H16:I16"/>
    <mergeCell ref="H17:H18"/>
    <mergeCell ref="I17:I18"/>
  </mergeCells>
  <dataValidations count="1">
    <dataValidation type="list" allowBlank="1" showInputMessage="1" showErrorMessage="1" sqref="C36" xr:uid="{00000000-0002-0000-0500-000000000000}">
      <formula1>$K$31:$K$35</formula1>
    </dataValidation>
  </dataValidations>
  <pageMargins left="0.7" right="0.7" top="0.75" bottom="0.75" header="0.3" footer="0.3"/>
  <pageSetup orientation="portrait" r:id="rId1"/>
  <legacy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11">
    <tabColor theme="2" tint="-9.9978637043366805E-2"/>
  </sheetPr>
  <dimension ref="A1:Q91"/>
  <sheetViews>
    <sheetView topLeftCell="A82" zoomScaleNormal="100" workbookViewId="0">
      <selection activeCell="M17" sqref="M17"/>
    </sheetView>
  </sheetViews>
  <sheetFormatPr defaultColWidth="8.81640625" defaultRowHeight="14.5" x14ac:dyDescent="0.35"/>
  <cols>
    <col min="2" max="2" width="14" customWidth="1"/>
    <col min="3" max="3" width="13.453125" customWidth="1"/>
    <col min="4" max="5" width="13.81640625" customWidth="1"/>
    <col min="8" max="8" width="12.1796875" customWidth="1"/>
    <col min="9" max="9" width="11.1796875" customWidth="1"/>
    <col min="10" max="10" width="11.81640625" customWidth="1"/>
    <col min="11" max="11" width="13.1796875" customWidth="1"/>
    <col min="12" max="12" width="10.1796875" customWidth="1"/>
  </cols>
  <sheetData>
    <row r="1" spans="1:9" ht="15.5" x14ac:dyDescent="0.35">
      <c r="A1" s="78" t="s">
        <v>270</v>
      </c>
    </row>
    <row r="2" spans="1:9" x14ac:dyDescent="0.35">
      <c r="A2" t="s">
        <v>271</v>
      </c>
    </row>
    <row r="4" spans="1:9" x14ac:dyDescent="0.35">
      <c r="A4" s="26" t="s">
        <v>272</v>
      </c>
      <c r="I4" t="s">
        <v>269</v>
      </c>
    </row>
    <row r="5" spans="1:9" x14ac:dyDescent="0.35">
      <c r="I5" t="s">
        <v>268</v>
      </c>
    </row>
    <row r="19" spans="1:17" x14ac:dyDescent="0.35">
      <c r="G19" s="26" t="s">
        <v>154</v>
      </c>
    </row>
    <row r="20" spans="1:17" ht="15.75" customHeight="1" x14ac:dyDescent="0.35">
      <c r="G20" s="127" t="s">
        <v>156</v>
      </c>
    </row>
    <row r="21" spans="1:17" ht="15" customHeight="1" x14ac:dyDescent="0.35">
      <c r="G21" s="127" t="s">
        <v>155</v>
      </c>
    </row>
    <row r="23" spans="1:17" ht="15" thickBot="1" x14ac:dyDescent="0.4">
      <c r="A23" s="72"/>
      <c r="B23" s="72"/>
      <c r="C23" s="72"/>
      <c r="D23" s="72"/>
      <c r="E23" s="72"/>
      <c r="F23" s="72"/>
      <c r="G23" s="72"/>
      <c r="H23" s="72"/>
      <c r="I23" s="72"/>
      <c r="J23" s="72"/>
      <c r="K23" s="72"/>
      <c r="L23" s="72"/>
      <c r="M23" s="72"/>
      <c r="N23" s="72"/>
    </row>
    <row r="24" spans="1:17" ht="15" thickTop="1" x14ac:dyDescent="0.35">
      <c r="A24" s="129"/>
    </row>
    <row r="25" spans="1:17" ht="15" thickBot="1" x14ac:dyDescent="0.4">
      <c r="A25" s="129" t="s">
        <v>384</v>
      </c>
      <c r="E25" s="121">
        <v>12</v>
      </c>
      <c r="F25" t="s">
        <v>385</v>
      </c>
      <c r="K25" s="191"/>
    </row>
    <row r="26" spans="1:17" ht="15" thickBot="1" x14ac:dyDescent="0.4">
      <c r="A26" t="s">
        <v>181</v>
      </c>
      <c r="D26" s="132"/>
      <c r="E26" s="133"/>
      <c r="F26" s="134"/>
      <c r="G26" s="134"/>
      <c r="H26" s="75"/>
      <c r="J26" s="456" t="s">
        <v>303</v>
      </c>
      <c r="K26" s="192"/>
    </row>
    <row r="27" spans="1:17" ht="15" customHeight="1" x14ac:dyDescent="0.35">
      <c r="A27" s="130" t="s">
        <v>162</v>
      </c>
      <c r="D27" s="458" t="s">
        <v>293</v>
      </c>
      <c r="E27" s="458" t="s">
        <v>300</v>
      </c>
      <c r="F27" s="458" t="s">
        <v>301</v>
      </c>
      <c r="G27" s="454" t="s">
        <v>292</v>
      </c>
      <c r="H27" s="454" t="s">
        <v>299</v>
      </c>
      <c r="I27" s="456" t="s">
        <v>302</v>
      </c>
      <c r="J27" s="457"/>
      <c r="K27" s="52" t="s">
        <v>295</v>
      </c>
      <c r="L27" s="184" t="s">
        <v>298</v>
      </c>
      <c r="M27" s="185"/>
      <c r="N27" s="186"/>
    </row>
    <row r="28" spans="1:17" ht="15" thickBot="1" x14ac:dyDescent="0.4">
      <c r="A28" s="131" t="s">
        <v>161</v>
      </c>
      <c r="D28" s="459"/>
      <c r="E28" s="459"/>
      <c r="F28" s="459"/>
      <c r="G28" s="460"/>
      <c r="H28" s="455"/>
      <c r="I28" s="457"/>
      <c r="J28" s="457"/>
      <c r="L28" s="187" t="s">
        <v>296</v>
      </c>
      <c r="M28" s="6"/>
      <c r="N28" s="188"/>
    </row>
    <row r="29" spans="1:17" ht="15" thickBot="1" x14ac:dyDescent="0.4">
      <c r="A29" s="451" t="s">
        <v>294</v>
      </c>
      <c r="B29" s="452"/>
      <c r="C29" s="453"/>
      <c r="D29" s="210">
        <f>'DeepBP-L_Facility'!F28</f>
        <v>0</v>
      </c>
      <c r="E29" s="210">
        <f>D29/9</f>
        <v>0</v>
      </c>
      <c r="F29" s="121">
        <v>420</v>
      </c>
      <c r="G29" s="121">
        <v>5</v>
      </c>
      <c r="H29" s="170">
        <f>IFERROR(E29*((E25*1.2/12)/3),0)</f>
        <v>0</v>
      </c>
      <c r="I29" s="171">
        <f>H29*G29</f>
        <v>0</v>
      </c>
      <c r="J29" s="279">
        <f>H29*F29</f>
        <v>0</v>
      </c>
      <c r="L29" s="189" t="s">
        <v>297</v>
      </c>
      <c r="M29" s="175"/>
      <c r="N29" s="190"/>
    </row>
    <row r="30" spans="1:17" ht="15" thickBot="1" x14ac:dyDescent="0.4">
      <c r="A30" s="72"/>
      <c r="B30" s="72"/>
      <c r="C30" s="72"/>
      <c r="D30" s="72"/>
      <c r="E30" s="72"/>
      <c r="F30" s="72"/>
      <c r="G30" s="72"/>
      <c r="H30" s="72"/>
      <c r="I30" s="72"/>
      <c r="J30" s="72"/>
      <c r="K30" s="72"/>
      <c r="L30" s="72"/>
      <c r="M30" s="72"/>
      <c r="N30" s="72"/>
    </row>
    <row r="31" spans="1:17" ht="15.5" thickTop="1" thickBot="1" x14ac:dyDescent="0.4"/>
    <row r="32" spans="1:17" ht="15" customHeight="1" thickTop="1" x14ac:dyDescent="0.35">
      <c r="B32" s="75" t="s">
        <v>153</v>
      </c>
      <c r="L32" s="137"/>
      <c r="M32" s="126" t="s">
        <v>236</v>
      </c>
      <c r="N32" s="156" t="s">
        <v>188</v>
      </c>
      <c r="O32" s="62"/>
      <c r="P32" s="151"/>
      <c r="Q32" s="63"/>
    </row>
    <row r="33" spans="1:17" x14ac:dyDescent="0.35">
      <c r="C33" s="26" t="s">
        <v>183</v>
      </c>
      <c r="F33" s="136"/>
      <c r="L33" s="137"/>
      <c r="N33" s="155"/>
      <c r="O33" s="153" t="s">
        <v>67</v>
      </c>
      <c r="P33" s="6"/>
      <c r="Q33" s="67"/>
    </row>
    <row r="34" spans="1:17" ht="15" customHeight="1" x14ac:dyDescent="0.35">
      <c r="C34" s="449" t="s">
        <v>158</v>
      </c>
      <c r="D34" s="450"/>
      <c r="E34" s="123" t="s">
        <v>170</v>
      </c>
      <c r="F34" s="461" t="s">
        <v>171</v>
      </c>
      <c r="G34" s="462"/>
      <c r="H34" s="463"/>
      <c r="I34" s="470" t="s">
        <v>172</v>
      </c>
      <c r="J34" s="471"/>
      <c r="L34" s="137"/>
      <c r="N34" s="152"/>
      <c r="O34" s="153" t="s">
        <v>187</v>
      </c>
      <c r="P34" s="134"/>
      <c r="Q34" s="67"/>
    </row>
    <row r="35" spans="1:17" ht="15" thickBot="1" x14ac:dyDescent="0.4">
      <c r="F35" s="464"/>
      <c r="G35" s="465"/>
      <c r="H35" s="466"/>
      <c r="I35" s="472"/>
      <c r="J35" s="473"/>
      <c r="N35" s="154"/>
      <c r="O35" s="72" t="s">
        <v>237</v>
      </c>
      <c r="P35" s="72"/>
      <c r="Q35" s="73"/>
    </row>
    <row r="36" spans="1:17" ht="15" thickTop="1" x14ac:dyDescent="0.35">
      <c r="F36" s="464"/>
      <c r="G36" s="465"/>
      <c r="H36" s="466"/>
      <c r="I36" s="472"/>
      <c r="J36" s="473"/>
      <c r="M36" s="126" t="s">
        <v>238</v>
      </c>
      <c r="N36" s="76"/>
      <c r="O36" s="74"/>
      <c r="P36" s="75"/>
    </row>
    <row r="37" spans="1:17" x14ac:dyDescent="0.35">
      <c r="F37" s="467"/>
      <c r="G37" s="468"/>
      <c r="H37" s="469"/>
      <c r="I37" s="474"/>
      <c r="J37" s="475"/>
      <c r="N37" s="205"/>
      <c r="O37" s="74" t="s">
        <v>332</v>
      </c>
    </row>
    <row r="38" spans="1:17" x14ac:dyDescent="0.35">
      <c r="A38" t="s">
        <v>164</v>
      </c>
      <c r="N38" s="77"/>
      <c r="O38" s="74" t="s">
        <v>333</v>
      </c>
      <c r="P38" s="75"/>
    </row>
    <row r="39" spans="1:17" ht="15.75" customHeight="1" thickBot="1" x14ac:dyDescent="0.4">
      <c r="A39" s="26" t="s">
        <v>165</v>
      </c>
      <c r="N39" s="167" t="s">
        <v>334</v>
      </c>
    </row>
    <row r="40" spans="1:17" ht="15" customHeight="1" thickTop="1" thickBot="1" x14ac:dyDescent="0.4">
      <c r="A40" s="481" t="s">
        <v>166</v>
      </c>
      <c r="B40" s="481"/>
      <c r="C40" s="484" t="s">
        <v>343</v>
      </c>
      <c r="D40" s="484" t="s">
        <v>344</v>
      </c>
      <c r="E40" s="481" t="s">
        <v>342</v>
      </c>
      <c r="F40" s="492" t="s">
        <v>355</v>
      </c>
      <c r="G40" s="481" t="s">
        <v>349</v>
      </c>
      <c r="H40" s="481" t="s">
        <v>352</v>
      </c>
      <c r="I40" s="489" t="s">
        <v>353</v>
      </c>
      <c r="J40" s="476" t="s">
        <v>167</v>
      </c>
      <c r="K40" s="476" t="s">
        <v>351</v>
      </c>
      <c r="L40" s="476" t="s">
        <v>350</v>
      </c>
      <c r="N40" s="169"/>
      <c r="O40" s="74" t="s">
        <v>335</v>
      </c>
    </row>
    <row r="41" spans="1:17" ht="45" customHeight="1" thickTop="1" thickBot="1" x14ac:dyDescent="0.4">
      <c r="A41" s="482"/>
      <c r="B41" s="482"/>
      <c r="C41" s="485"/>
      <c r="D41" s="485"/>
      <c r="E41" s="487"/>
      <c r="F41" s="493"/>
      <c r="G41" s="482"/>
      <c r="H41" s="482"/>
      <c r="I41" s="490"/>
      <c r="J41" s="477"/>
      <c r="K41" s="477"/>
      <c r="L41" s="477"/>
    </row>
    <row r="42" spans="1:17" ht="8.25" customHeight="1" thickTop="1" thickBot="1" x14ac:dyDescent="0.4">
      <c r="A42" s="483"/>
      <c r="B42" s="483"/>
      <c r="C42" s="486"/>
      <c r="D42" s="486"/>
      <c r="E42" s="488"/>
      <c r="F42" s="494"/>
      <c r="G42" s="483"/>
      <c r="H42" s="483"/>
      <c r="I42" s="491"/>
      <c r="J42" s="478"/>
      <c r="K42" s="478"/>
      <c r="L42" s="478"/>
    </row>
    <row r="43" spans="1:17" ht="15" thickTop="1" x14ac:dyDescent="0.35">
      <c r="A43" s="479"/>
      <c r="B43" s="480"/>
      <c r="C43" s="345" t="str">
        <f>IFERROR(INDEX(RefTable!$B$51:$B$58,MATCH(A43,RefTable!$A$51:$A$58,0),0),"")</f>
        <v/>
      </c>
      <c r="D43" s="345" t="str">
        <f>IFERROR(INDEX(RefTable!$C$51:$C$58,MATCH(A43,RefTable!$A$51:$A$58,0),0),"")</f>
        <v/>
      </c>
      <c r="E43" s="265"/>
      <c r="F43" s="222" t="str">
        <f>IFERROR(INDEX(RefTable!$B$62:$B$73,MATCH(E43,RefTable!$D$62:$D$73,0),0),"")</f>
        <v/>
      </c>
      <c r="G43" s="285" t="str">
        <f>IFERROR(INDEX(RefTable!$C$62:$C$73,MATCH(E43,RefTable!$D$62:$D$73,0),0),"")</f>
        <v/>
      </c>
      <c r="H43" s="224" t="str">
        <f>IFERROR(INDEX(RefTable!$E$62:$E$73,MATCH(E43,RefTable!$D$62:$D$73,0),0),"")</f>
        <v/>
      </c>
      <c r="I43" s="121"/>
      <c r="J43" s="223" t="str">
        <f>IFERROR(I43*H43,"0")</f>
        <v>0</v>
      </c>
      <c r="K43" s="279" t="str">
        <f>IFERROR(I43*G43,"0")</f>
        <v>0</v>
      </c>
      <c r="L43" s="279" t="str">
        <f t="shared" ref="L43:L50" si="0">IFERROR(K43*C43/100,"0")</f>
        <v>0</v>
      </c>
    </row>
    <row r="44" spans="1:17" x14ac:dyDescent="0.35">
      <c r="A44" s="479"/>
      <c r="B44" s="480"/>
      <c r="C44" s="345" t="str">
        <f>IFERROR(INDEX(RefTable!$B$51:$B$58,MATCH(A44,RefTable!$A$51:$A$58,0),0),"")</f>
        <v/>
      </c>
      <c r="D44" s="345" t="str">
        <f>IFERROR(INDEX(RefTable!$C$51:$C$58,MATCH(A44,RefTable!$A$51:$A$58,0),0),"")</f>
        <v/>
      </c>
      <c r="E44" s="265"/>
      <c r="F44" s="222" t="str">
        <f>IFERROR(INDEX(RefTable!$B$62:$B$73,MATCH(E44,RefTable!$D$62:$D$73,0),0),"")</f>
        <v/>
      </c>
      <c r="G44" s="285" t="str">
        <f>IFERROR(INDEX(RefTable!$C$62:$C$73,MATCH(E44,RefTable!$D$62:$D$73,0),0),"")</f>
        <v/>
      </c>
      <c r="H44" s="224" t="str">
        <f>IFERROR(INDEX(RefTable!$E$62:$E$73,MATCH(E44,RefTable!$D$62:$D$73,0),0),"")</f>
        <v/>
      </c>
      <c r="I44" s="121"/>
      <c r="J44" s="223" t="str">
        <f>IFERROR(I44*H44,"0")</f>
        <v>0</v>
      </c>
      <c r="K44" s="279" t="str">
        <f>IFERROR(I44*G44,"0")</f>
        <v>0</v>
      </c>
      <c r="L44" s="279" t="str">
        <f t="shared" si="0"/>
        <v>0</v>
      </c>
    </row>
    <row r="45" spans="1:17" x14ac:dyDescent="0.35">
      <c r="A45" s="479"/>
      <c r="B45" s="480"/>
      <c r="C45" s="345" t="str">
        <f>IFERROR(INDEX(RefTable!$B$51:$B$58,MATCH(A45,RefTable!$A$51:$A$58,0),0),"")</f>
        <v/>
      </c>
      <c r="D45" s="345" t="str">
        <f>IFERROR(INDEX(RefTable!$C$51:$C$58,MATCH(A45,RefTable!$A$51:$A$58,0),0),"")</f>
        <v/>
      </c>
      <c r="E45" s="265"/>
      <c r="F45" s="222" t="str">
        <f>IFERROR(INDEX(RefTable!$B$62:$B$73,MATCH(E45,RefTable!$D$62:$D$73,0),0),"")</f>
        <v/>
      </c>
      <c r="G45" s="285" t="str">
        <f>IFERROR(INDEX(RefTable!$C$62:$C$73,MATCH(E45,RefTable!$D$62:$D$73,0),0),"")</f>
        <v/>
      </c>
      <c r="H45" s="224" t="str">
        <f>IFERROR(INDEX(RefTable!$E$62:$E$73,MATCH(E45,RefTable!$D$62:$D$73,0),0),"")</f>
        <v/>
      </c>
      <c r="I45" s="121"/>
      <c r="J45" s="223" t="str">
        <f t="shared" ref="J45:J50" si="1">IFERROR(I45*H45,"0")</f>
        <v>0</v>
      </c>
      <c r="K45" s="279" t="str">
        <f t="shared" ref="K45:K50" si="2">IFERROR(I45*G45,"0")</f>
        <v>0</v>
      </c>
      <c r="L45" s="279" t="str">
        <f t="shared" si="0"/>
        <v>0</v>
      </c>
    </row>
    <row r="46" spans="1:17" x14ac:dyDescent="0.35">
      <c r="A46" s="479"/>
      <c r="B46" s="480"/>
      <c r="C46" s="345" t="str">
        <f>IFERROR(INDEX(RefTable!$B$51:$B$58,MATCH(A46,RefTable!$A$51:$A$58,0),0),"")</f>
        <v/>
      </c>
      <c r="D46" s="345" t="str">
        <f>IFERROR(INDEX(RefTable!$C$51:$C$58,MATCH(A46,RefTable!$A$51:$A$58,0),0),"")</f>
        <v/>
      </c>
      <c r="E46" s="265"/>
      <c r="F46" s="222" t="str">
        <f>IFERROR(INDEX(RefTable!$B$62:$B$73,MATCH(E46,RefTable!$D$62:$D$73,0),0),"")</f>
        <v/>
      </c>
      <c r="G46" s="285" t="str">
        <f>IFERROR(INDEX(RefTable!$C$62:$C$73,MATCH(E46,RefTable!$D$62:$D$73,0),0),"")</f>
        <v/>
      </c>
      <c r="H46" s="224" t="str">
        <f>IFERROR(INDEX(RefTable!$E$62:$E$73,MATCH(E46,RefTable!$D$62:$D$73,0),0),"")</f>
        <v/>
      </c>
      <c r="I46" s="121"/>
      <c r="J46" s="223" t="str">
        <f t="shared" si="1"/>
        <v>0</v>
      </c>
      <c r="K46" s="279" t="str">
        <f t="shared" si="2"/>
        <v>0</v>
      </c>
      <c r="L46" s="279" t="str">
        <f t="shared" si="0"/>
        <v>0</v>
      </c>
    </row>
    <row r="47" spans="1:17" x14ac:dyDescent="0.35">
      <c r="A47" s="479"/>
      <c r="B47" s="480"/>
      <c r="C47" s="345" t="str">
        <f>IFERROR(INDEX(RefTable!$B$51:$B$58,MATCH(A47,RefTable!$A$51:$A$58,0),0),"")</f>
        <v/>
      </c>
      <c r="D47" s="345" t="str">
        <f>IFERROR(INDEX(RefTable!$C$51:$C$58,MATCH(A47,RefTable!$A$51:$A$58,0),0),"")</f>
        <v/>
      </c>
      <c r="E47" s="265"/>
      <c r="F47" s="222" t="str">
        <f>IFERROR(INDEX(RefTable!$B$62:$B$73,MATCH(E47,RefTable!$D$62:$D$73,0),0),"")</f>
        <v/>
      </c>
      <c r="G47" s="285" t="str">
        <f>IFERROR(INDEX(RefTable!$C$62:$C$73,MATCH(E47,RefTable!$D$62:$D$73,0),0),"")</f>
        <v/>
      </c>
      <c r="H47" s="224" t="str">
        <f>IFERROR(INDEX(RefTable!$E$62:$E$73,MATCH(E47,RefTable!$D$62:$D$73,0),0),"")</f>
        <v/>
      </c>
      <c r="I47" s="121"/>
      <c r="J47" s="223" t="str">
        <f t="shared" si="1"/>
        <v>0</v>
      </c>
      <c r="K47" s="279" t="str">
        <f t="shared" si="2"/>
        <v>0</v>
      </c>
      <c r="L47" s="279" t="str">
        <f t="shared" si="0"/>
        <v>0</v>
      </c>
    </row>
    <row r="48" spans="1:17" x14ac:dyDescent="0.35">
      <c r="A48" s="479"/>
      <c r="B48" s="480"/>
      <c r="C48" s="345" t="str">
        <f>IFERROR(INDEX(RefTable!$B$51:$B$58,MATCH(A48,RefTable!$A$51:$A$58,0),0),"")</f>
        <v/>
      </c>
      <c r="D48" s="345" t="str">
        <f>IFERROR(INDEX(RefTable!$C$51:$C$58,MATCH(A48,RefTable!$A$51:$A$58,0),0),"")</f>
        <v/>
      </c>
      <c r="E48" s="265"/>
      <c r="F48" s="222" t="str">
        <f>IFERROR(INDEX(RefTable!$B$62:$B$73,MATCH(E48,RefTable!$D$62:$D$73,0),0),"")</f>
        <v/>
      </c>
      <c r="G48" s="285" t="str">
        <f>IFERROR(INDEX(RefTable!$C$62:$C$73,MATCH(E48,RefTable!$D$62:$D$73,0),0),"")</f>
        <v/>
      </c>
      <c r="H48" s="224" t="str">
        <f>IFERROR(INDEX(RefTable!$E$62:$E$73,MATCH(E48,RefTable!$D$62:$D$73,0),0),"")</f>
        <v/>
      </c>
      <c r="I48" s="121"/>
      <c r="J48" s="223" t="str">
        <f t="shared" si="1"/>
        <v>0</v>
      </c>
      <c r="K48" s="279" t="str">
        <f t="shared" si="2"/>
        <v>0</v>
      </c>
      <c r="L48" s="279" t="str">
        <f t="shared" si="0"/>
        <v>0</v>
      </c>
    </row>
    <row r="49" spans="1:12" x14ac:dyDescent="0.35">
      <c r="A49" s="479"/>
      <c r="B49" s="480"/>
      <c r="C49" s="345" t="str">
        <f>IFERROR(INDEX(RefTable!$B$51:$B$58,MATCH(A49,RefTable!$A$51:$A$58,0),0),"")</f>
        <v/>
      </c>
      <c r="D49" s="345" t="str">
        <f>IFERROR(INDEX(RefTable!$C$51:$C$58,MATCH(A49,RefTable!$A$51:$A$58,0),0),"")</f>
        <v/>
      </c>
      <c r="E49" s="265"/>
      <c r="F49" s="222" t="str">
        <f>IFERROR(INDEX(RefTable!$B$62:$B$73,MATCH(E49,RefTable!$D$62:$D$73,0),0),"")</f>
        <v/>
      </c>
      <c r="G49" s="285" t="str">
        <f>IFERROR(INDEX(RefTable!$C$62:$C$73,MATCH(E49,RefTable!$D$62:$D$73,0),0),"")</f>
        <v/>
      </c>
      <c r="H49" s="224" t="str">
        <f>IFERROR(INDEX(RefTable!$E$62:$E$73,MATCH(E49,RefTable!$D$62:$D$73,0),0),"")</f>
        <v/>
      </c>
      <c r="I49" s="121"/>
      <c r="J49" s="223" t="str">
        <f t="shared" si="1"/>
        <v>0</v>
      </c>
      <c r="K49" s="279" t="str">
        <f t="shared" si="2"/>
        <v>0</v>
      </c>
      <c r="L49" s="279" t="str">
        <f t="shared" si="0"/>
        <v>0</v>
      </c>
    </row>
    <row r="50" spans="1:12" ht="15" thickBot="1" x14ac:dyDescent="0.4">
      <c r="A50" s="479"/>
      <c r="B50" s="480"/>
      <c r="C50" s="345" t="str">
        <f>IFERROR(INDEX(RefTable!$B$51:$B$58,MATCH(A50,RefTable!$A$51:$A$58,0),0),"")</f>
        <v/>
      </c>
      <c r="D50" s="345" t="str">
        <f>IFERROR(INDEX(RefTable!$C$51:$C$58,MATCH(A50,RefTable!$A$51:$A$58,0),0),"")</f>
        <v/>
      </c>
      <c r="E50" s="265"/>
      <c r="F50" s="222" t="str">
        <f>IFERROR(INDEX(RefTable!$B$62:$B$73,MATCH(E50,RefTable!$D$62:$D$73,0),0),"")</f>
        <v/>
      </c>
      <c r="G50" s="285" t="str">
        <f>IFERROR(INDEX(RefTable!$C$62:$C$73,MATCH(E50,RefTable!$D$62:$D$73,0),0),"")</f>
        <v/>
      </c>
      <c r="H50" s="224" t="str">
        <f>IFERROR(INDEX(RefTable!$E$62:$E$73,MATCH(E50,RefTable!$D$62:$D$73,0),0),"")</f>
        <v/>
      </c>
      <c r="I50" s="121"/>
      <c r="J50" s="223" t="str">
        <f t="shared" si="1"/>
        <v>0</v>
      </c>
      <c r="K50" s="279" t="str">
        <f t="shared" si="2"/>
        <v>0</v>
      </c>
      <c r="L50" s="279" t="str">
        <f t="shared" si="0"/>
        <v>0</v>
      </c>
    </row>
    <row r="51" spans="1:12" ht="15.5" thickTop="1" thickBot="1" x14ac:dyDescent="0.4">
      <c r="D51" s="225" t="s">
        <v>376</v>
      </c>
      <c r="I51" s="126" t="s">
        <v>168</v>
      </c>
      <c r="J51" s="172">
        <f>SUM(J43:J50)</f>
        <v>0</v>
      </c>
      <c r="K51" s="276">
        <f>SUM(K43:K50)</f>
        <v>0</v>
      </c>
      <c r="L51" s="276">
        <f>SUM(L43:L50)</f>
        <v>0</v>
      </c>
    </row>
    <row r="52" spans="1:12" ht="15" thickTop="1" x14ac:dyDescent="0.35">
      <c r="D52" s="304">
        <f>IFERROR((SUMPRODUCT(D43:D50,K43:K50))/K51,0)</f>
        <v>0</v>
      </c>
      <c r="I52" s="126"/>
      <c r="J52" s="251"/>
      <c r="K52" s="252"/>
      <c r="L52" s="252"/>
    </row>
    <row r="54" spans="1:12" ht="15.5" x14ac:dyDescent="0.35">
      <c r="C54" s="135" t="s">
        <v>169</v>
      </c>
    </row>
    <row r="59" spans="1:12" x14ac:dyDescent="0.35">
      <c r="I59" s="138" t="s">
        <v>173</v>
      </c>
      <c r="J59" s="295">
        <f>'DeepBP-L_Facility'!H62</f>
        <v>0</v>
      </c>
    </row>
    <row r="60" spans="1:12" x14ac:dyDescent="0.35">
      <c r="I60" s="138" t="s">
        <v>174</v>
      </c>
      <c r="J60" s="295">
        <f>'DeepBP-L_Facility'!J62</f>
        <v>0</v>
      </c>
    </row>
    <row r="61" spans="1:12" x14ac:dyDescent="0.35">
      <c r="J61" s="296"/>
    </row>
    <row r="62" spans="1:12" x14ac:dyDescent="0.35">
      <c r="I62" s="52" t="s">
        <v>175</v>
      </c>
      <c r="J62" s="295">
        <f>K51</f>
        <v>0</v>
      </c>
    </row>
    <row r="63" spans="1:12" x14ac:dyDescent="0.35">
      <c r="I63" s="52" t="s">
        <v>176</v>
      </c>
      <c r="J63" s="295">
        <f>L51</f>
        <v>0</v>
      </c>
    </row>
    <row r="65" spans="1:11" ht="15" thickBot="1" x14ac:dyDescent="0.4"/>
    <row r="66" spans="1:11" ht="15.5" thickTop="1" thickBot="1" x14ac:dyDescent="0.4">
      <c r="A66" s="139" t="s">
        <v>177</v>
      </c>
      <c r="B66" s="140"/>
      <c r="C66" s="57"/>
      <c r="D66" s="139" t="s">
        <v>178</v>
      </c>
      <c r="H66" s="173" t="str">
        <f t="array" ref="H66">IF(ISERR(((J60+J63)/(J59+J62))*100),"",(((J60+J63)/(J59+J62))*100))</f>
        <v/>
      </c>
      <c r="I66" s="26" t="s">
        <v>179</v>
      </c>
    </row>
    <row r="67" spans="1:11" ht="15" thickTop="1" x14ac:dyDescent="0.35">
      <c r="G67" s="52" t="s">
        <v>189</v>
      </c>
      <c r="H67" s="141" t="str">
        <f>IF(H66&lt;=63,"Bedding Quantity OK", "More Bedding Is Needed!")</f>
        <v>More Bedding Is Needed!</v>
      </c>
    </row>
    <row r="68" spans="1:11" ht="15" thickBot="1" x14ac:dyDescent="0.4"/>
    <row r="69" spans="1:11" ht="15.5" thickTop="1" thickBot="1" x14ac:dyDescent="0.4">
      <c r="J69" s="126" t="s">
        <v>180</v>
      </c>
      <c r="K69" s="172">
        <f>I29+J51</f>
        <v>0</v>
      </c>
    </row>
    <row r="70" spans="1:11" ht="15" thickTop="1" x14ac:dyDescent="0.35"/>
    <row r="71" spans="1:11" x14ac:dyDescent="0.35">
      <c r="D71" s="26" t="s">
        <v>363</v>
      </c>
    </row>
    <row r="72" spans="1:11" x14ac:dyDescent="0.35">
      <c r="E72" t="s">
        <v>365</v>
      </c>
    </row>
    <row r="73" spans="1:11" ht="15" thickBot="1" x14ac:dyDescent="0.4">
      <c r="H73" t="s">
        <v>389</v>
      </c>
    </row>
    <row r="74" spans="1:11" ht="15" thickBot="1" x14ac:dyDescent="0.4">
      <c r="H74" s="244"/>
      <c r="I74" s="226" t="s">
        <v>364</v>
      </c>
      <c r="J74" s="227"/>
    </row>
    <row r="75" spans="1:11" ht="15" thickBot="1" x14ac:dyDescent="0.4">
      <c r="C75" t="s">
        <v>366</v>
      </c>
      <c r="F75" s="297">
        <f>J59-J60</f>
        <v>0</v>
      </c>
      <c r="H75" s="376" t="s">
        <v>368</v>
      </c>
      <c r="I75" s="377"/>
      <c r="J75" s="378"/>
    </row>
    <row r="76" spans="1:11" ht="15.5" thickTop="1" thickBot="1" x14ac:dyDescent="0.4">
      <c r="C76" t="s">
        <v>372</v>
      </c>
      <c r="D76" t="s">
        <v>373</v>
      </c>
      <c r="F76" s="298">
        <f>F75*46.8/100</f>
        <v>0</v>
      </c>
      <c r="H76" s="376" t="s">
        <v>369</v>
      </c>
      <c r="I76" s="377"/>
      <c r="J76" s="378"/>
    </row>
    <row r="77" spans="1:11" ht="15" thickBot="1" x14ac:dyDescent="0.4">
      <c r="D77" t="s">
        <v>374</v>
      </c>
      <c r="F77" s="299">
        <f>F75*2.6/100</f>
        <v>0</v>
      </c>
      <c r="H77" s="495" t="s">
        <v>367</v>
      </c>
      <c r="I77" s="496"/>
      <c r="J77" s="497"/>
    </row>
    <row r="78" spans="1:11" ht="15.5" thickTop="1" thickBot="1" x14ac:dyDescent="0.4">
      <c r="F78" s="296"/>
    </row>
    <row r="79" spans="1:11" ht="15" thickBot="1" x14ac:dyDescent="0.4">
      <c r="C79" t="s">
        <v>375</v>
      </c>
      <c r="F79" s="297">
        <f>J62-J63</f>
        <v>0</v>
      </c>
      <c r="H79" t="s">
        <v>388</v>
      </c>
    </row>
    <row r="80" spans="1:11" ht="15.5" thickTop="1" thickBot="1" x14ac:dyDescent="0.4">
      <c r="C80" t="s">
        <v>371</v>
      </c>
      <c r="D80" t="s">
        <v>373</v>
      </c>
      <c r="F80" s="298">
        <f>J81*F79/100</f>
        <v>0</v>
      </c>
      <c r="H80" s="244" t="s">
        <v>377</v>
      </c>
      <c r="I80" s="2"/>
      <c r="J80" s="246">
        <f>D52</f>
        <v>0</v>
      </c>
    </row>
    <row r="81" spans="2:10" ht="15" thickBot="1" x14ac:dyDescent="0.4">
      <c r="D81" t="s">
        <v>374</v>
      </c>
      <c r="F81" s="299">
        <f>F79*1/100</f>
        <v>0</v>
      </c>
      <c r="H81" s="231" t="s">
        <v>379</v>
      </c>
      <c r="I81" s="6"/>
      <c r="J81" s="248">
        <f>J80*1</f>
        <v>0</v>
      </c>
    </row>
    <row r="82" spans="2:10" ht="15.5" thickTop="1" thickBot="1" x14ac:dyDescent="0.4">
      <c r="H82" s="231" t="s">
        <v>378</v>
      </c>
      <c r="I82" s="6"/>
      <c r="J82" s="233"/>
    </row>
    <row r="83" spans="2:10" ht="15" thickBot="1" x14ac:dyDescent="0.4">
      <c r="D83" s="250" t="s">
        <v>380</v>
      </c>
      <c r="E83" s="247"/>
      <c r="F83" s="249">
        <f>IFERROR((F76+F80)/(F77+F81),0)</f>
        <v>0</v>
      </c>
      <c r="G83" s="26" t="s">
        <v>381</v>
      </c>
      <c r="H83" s="495" t="s">
        <v>367</v>
      </c>
      <c r="I83" s="496"/>
      <c r="J83" s="497"/>
    </row>
    <row r="85" spans="2:10" ht="15" thickBot="1" x14ac:dyDescent="0.4">
      <c r="H85" t="s">
        <v>370</v>
      </c>
    </row>
    <row r="86" spans="2:10" ht="15" thickTop="1" x14ac:dyDescent="0.35">
      <c r="B86" s="253" t="s">
        <v>362</v>
      </c>
      <c r="C86" s="62"/>
      <c r="D86" s="62"/>
      <c r="E86" s="62"/>
      <c r="F86" s="62"/>
      <c r="G86" s="62"/>
      <c r="H86" s="62"/>
      <c r="I86" s="63"/>
    </row>
    <row r="87" spans="2:10" x14ac:dyDescent="0.35">
      <c r="B87" s="64" t="s">
        <v>382</v>
      </c>
      <c r="C87" s="6"/>
      <c r="D87" s="6"/>
      <c r="E87" s="6"/>
      <c r="F87" s="6"/>
      <c r="G87" s="6"/>
      <c r="H87" s="6"/>
      <c r="I87" s="67"/>
    </row>
    <row r="88" spans="2:10" ht="15" thickBot="1" x14ac:dyDescent="0.4">
      <c r="B88" s="154" t="s">
        <v>383</v>
      </c>
      <c r="C88" s="72"/>
      <c r="D88" s="72"/>
      <c r="E88" s="72"/>
      <c r="F88" s="72"/>
      <c r="G88" s="72"/>
      <c r="H88" s="72"/>
      <c r="I88" s="73"/>
    </row>
    <row r="89" spans="2:10" ht="15" thickTop="1" x14ac:dyDescent="0.35">
      <c r="B89" s="26" t="s">
        <v>386</v>
      </c>
    </row>
    <row r="90" spans="2:10" x14ac:dyDescent="0.35">
      <c r="B90" s="26" t="s">
        <v>387</v>
      </c>
    </row>
    <row r="91" spans="2:10" x14ac:dyDescent="0.35">
      <c r="B91" s="26" t="s">
        <v>429</v>
      </c>
    </row>
  </sheetData>
  <sheetProtection sheet="1" objects="1" scenarios="1"/>
  <mergeCells count="34">
    <mergeCell ref="H75:J75"/>
    <mergeCell ref="H76:J76"/>
    <mergeCell ref="H77:J77"/>
    <mergeCell ref="H83:J83"/>
    <mergeCell ref="J26:J28"/>
    <mergeCell ref="I27:I28"/>
    <mergeCell ref="D27:D28"/>
    <mergeCell ref="E27:E28"/>
    <mergeCell ref="F27:F28"/>
    <mergeCell ref="G27:G28"/>
    <mergeCell ref="H27:H28"/>
    <mergeCell ref="A29:C29"/>
    <mergeCell ref="C34:D34"/>
    <mergeCell ref="F34:H37"/>
    <mergeCell ref="I34:J37"/>
    <mergeCell ref="A40:B42"/>
    <mergeCell ref="C40:C42"/>
    <mergeCell ref="D40:D42"/>
    <mergeCell ref="E40:E42"/>
    <mergeCell ref="F40:F42"/>
    <mergeCell ref="G40:G42"/>
    <mergeCell ref="L40:L42"/>
    <mergeCell ref="A50:B50"/>
    <mergeCell ref="H40:H42"/>
    <mergeCell ref="I40:I42"/>
    <mergeCell ref="J40:J42"/>
    <mergeCell ref="K40:K42"/>
    <mergeCell ref="A43:B43"/>
    <mergeCell ref="A44:B44"/>
    <mergeCell ref="A45:B45"/>
    <mergeCell ref="A46:B46"/>
    <mergeCell ref="A47:B47"/>
    <mergeCell ref="A48:B48"/>
    <mergeCell ref="A49:B49"/>
  </mergeCells>
  <pageMargins left="0.25" right="0.25" top="0.75" bottom="0.75" header="0.3" footer="0.3"/>
  <pageSetup scale="80" orientation="portrait" r:id="rId1"/>
  <drawing r:id="rId2"/>
  <legacyDrawing r:id="rId3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00000000-0002-0000-0600-000000000000}">
          <x14:formula1>
            <xm:f>RefTable!$A$51:$A$58</xm:f>
          </x14:formula1>
          <xm:sqref>A43:B50</xm:sqref>
        </x14:dataValidation>
        <x14:dataValidation type="list" allowBlank="1" showInputMessage="1" showErrorMessage="1" xr:uid="{00000000-0002-0000-0600-000001000000}">
          <x14:formula1>
            <xm:f>RefTable!$D$62:$D$73</xm:f>
          </x14:formula1>
          <xm:sqref>E43:E50</xm:sqref>
        </x14:dataValidation>
      </x14:dataValidations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7">
    <tabColor rgb="FFFFFF00"/>
  </sheetPr>
  <dimension ref="A6:P69"/>
  <sheetViews>
    <sheetView showZeros="0" zoomScaleNormal="100" workbookViewId="0">
      <selection activeCell="C31" sqref="C31:D31"/>
    </sheetView>
  </sheetViews>
  <sheetFormatPr defaultColWidth="8.81640625" defaultRowHeight="14.5" x14ac:dyDescent="0.35"/>
  <cols>
    <col min="4" max="4" width="11.1796875" customWidth="1"/>
    <col min="5" max="5" width="11" customWidth="1"/>
    <col min="7" max="7" width="11.453125" customWidth="1"/>
    <col min="8" max="8" width="11.1796875" customWidth="1"/>
    <col min="13" max="13" width="10" customWidth="1"/>
  </cols>
  <sheetData>
    <row r="6" spans="1:9" ht="18.5" x14ac:dyDescent="0.45">
      <c r="A6" s="142" t="s">
        <v>50</v>
      </c>
    </row>
    <row r="7" spans="1:9" ht="18.5" x14ac:dyDescent="0.45">
      <c r="A7" s="142" t="s">
        <v>51</v>
      </c>
    </row>
    <row r="8" spans="1:9" x14ac:dyDescent="0.35">
      <c r="A8" s="143" t="str">
        <f>Title!B10</f>
        <v>v. 1.3</v>
      </c>
    </row>
    <row r="10" spans="1:9" x14ac:dyDescent="0.35">
      <c r="A10" s="26" t="s">
        <v>54</v>
      </c>
      <c r="H10" s="26" t="s">
        <v>56</v>
      </c>
    </row>
    <row r="11" spans="1:9" x14ac:dyDescent="0.35">
      <c r="B11" s="52" t="s">
        <v>53</v>
      </c>
      <c r="C11" s="538">
        <f>Inventory!C2</f>
        <v>0</v>
      </c>
      <c r="D11" s="538"/>
      <c r="E11" s="538"/>
      <c r="F11" s="538"/>
      <c r="G11" s="50"/>
      <c r="H11" s="58" t="s">
        <v>55</v>
      </c>
      <c r="I11" s="157">
        <f>Inventory!I2</f>
        <v>0</v>
      </c>
    </row>
    <row r="12" spans="1:9" x14ac:dyDescent="0.35">
      <c r="B12" s="52" t="s">
        <v>58</v>
      </c>
      <c r="C12" s="539">
        <f>Inventory!C3</f>
        <v>0</v>
      </c>
      <c r="D12" s="539"/>
      <c r="E12" s="539"/>
      <c r="F12" s="539"/>
      <c r="H12" s="50"/>
      <c r="I12" s="53"/>
    </row>
    <row r="13" spans="1:9" x14ac:dyDescent="0.35">
      <c r="B13" s="52" t="s">
        <v>52</v>
      </c>
      <c r="C13" s="539">
        <f>Inventory!C4</f>
        <v>0</v>
      </c>
      <c r="D13" s="539"/>
      <c r="E13" s="539"/>
      <c r="F13" s="539"/>
      <c r="H13" s="58" t="s">
        <v>57</v>
      </c>
      <c r="I13" s="158">
        <f>Inventory!I4</f>
        <v>0</v>
      </c>
    </row>
    <row r="16" spans="1:9" ht="15" thickBot="1" x14ac:dyDescent="0.4">
      <c r="C16" s="26" t="s">
        <v>182</v>
      </c>
    </row>
    <row r="17" spans="1:15" ht="15" thickBot="1" x14ac:dyDescent="0.4">
      <c r="J17" s="415" t="s">
        <v>69</v>
      </c>
    </row>
    <row r="18" spans="1:15" ht="15" thickBot="1" x14ac:dyDescent="0.4">
      <c r="C18" s="373" t="s">
        <v>5</v>
      </c>
      <c r="D18" s="375"/>
      <c r="E18" s="383" t="s">
        <v>6</v>
      </c>
      <c r="F18" s="396"/>
      <c r="G18" s="396"/>
      <c r="H18" s="384"/>
      <c r="I18" s="79" t="s">
        <v>73</v>
      </c>
      <c r="J18" s="416"/>
    </row>
    <row r="19" spans="1:15" x14ac:dyDescent="0.35">
      <c r="C19" s="526">
        <f>Inventory!A18</f>
        <v>0</v>
      </c>
      <c r="D19" s="527"/>
      <c r="E19" s="532">
        <f>Inventory!C18</f>
        <v>0</v>
      </c>
      <c r="F19" s="533"/>
      <c r="G19" s="533"/>
      <c r="H19" s="534"/>
      <c r="I19" s="300" t="str">
        <f>Inventory!G18</f>
        <v>0</v>
      </c>
      <c r="J19" s="144">
        <f>Inventory!H18</f>
        <v>0</v>
      </c>
    </row>
    <row r="20" spans="1:15" x14ac:dyDescent="0.35">
      <c r="C20" s="528">
        <f>Inventory!A19</f>
        <v>0</v>
      </c>
      <c r="D20" s="529"/>
      <c r="E20" s="535">
        <f>Inventory!C19</f>
        <v>0</v>
      </c>
      <c r="F20" s="536"/>
      <c r="G20" s="536"/>
      <c r="H20" s="537"/>
      <c r="I20" s="285" t="str">
        <f>Inventory!G19</f>
        <v>0</v>
      </c>
      <c r="J20" s="145">
        <f>Inventory!H19</f>
        <v>0</v>
      </c>
    </row>
    <row r="21" spans="1:15" x14ac:dyDescent="0.35">
      <c r="C21" s="528">
        <f>Inventory!A20</f>
        <v>0</v>
      </c>
      <c r="D21" s="529"/>
      <c r="E21" s="535">
        <f>Inventory!C20</f>
        <v>0</v>
      </c>
      <c r="F21" s="536"/>
      <c r="G21" s="536"/>
      <c r="H21" s="537"/>
      <c r="I21" s="285" t="str">
        <f>Inventory!G20</f>
        <v>0</v>
      </c>
      <c r="J21" s="145">
        <f>Inventory!H20</f>
        <v>0</v>
      </c>
    </row>
    <row r="22" spans="1:15" x14ac:dyDescent="0.35">
      <c r="C22" s="528">
        <f>Inventory!A21</f>
        <v>0</v>
      </c>
      <c r="D22" s="529"/>
      <c r="E22" s="535">
        <f>Inventory!C21</f>
        <v>0</v>
      </c>
      <c r="F22" s="536"/>
      <c r="G22" s="536"/>
      <c r="H22" s="537"/>
      <c r="I22" s="285" t="str">
        <f>Inventory!G21</f>
        <v>0</v>
      </c>
      <c r="J22" s="145">
        <f>Inventory!H21</f>
        <v>0</v>
      </c>
    </row>
    <row r="23" spans="1:15" x14ac:dyDescent="0.35">
      <c r="C23" s="528">
        <f>Inventory!A22</f>
        <v>0</v>
      </c>
      <c r="D23" s="529"/>
      <c r="E23" s="535">
        <f>Inventory!C22</f>
        <v>0</v>
      </c>
      <c r="F23" s="536"/>
      <c r="G23" s="536"/>
      <c r="H23" s="537"/>
      <c r="I23" s="285" t="str">
        <f>Inventory!G22</f>
        <v>0</v>
      </c>
      <c r="J23" s="145">
        <f>Inventory!H22</f>
        <v>0</v>
      </c>
    </row>
    <row r="24" spans="1:15" ht="15" thickBot="1" x14ac:dyDescent="0.4">
      <c r="C24" s="530">
        <f>Inventory!A23</f>
        <v>0</v>
      </c>
      <c r="D24" s="531"/>
      <c r="E24" s="523">
        <f>Inventory!C23</f>
        <v>0</v>
      </c>
      <c r="F24" s="524"/>
      <c r="G24" s="524"/>
      <c r="H24" s="525"/>
      <c r="I24" s="301" t="str">
        <f>Inventory!G23</f>
        <v>0</v>
      </c>
      <c r="J24" s="146">
        <f>Inventory!H23</f>
        <v>0</v>
      </c>
    </row>
    <row r="25" spans="1:15" ht="15" thickBot="1" x14ac:dyDescent="0.4"/>
    <row r="26" spans="1:15" ht="15.5" thickTop="1" thickBot="1" x14ac:dyDescent="0.4">
      <c r="A26" s="259" t="s">
        <v>391</v>
      </c>
      <c r="B26" s="260"/>
      <c r="C26" s="260"/>
      <c r="D26" s="261"/>
      <c r="F26" s="126" t="s">
        <v>392</v>
      </c>
      <c r="G26" s="302">
        <f>DeepBP_Facility!E28</f>
        <v>0</v>
      </c>
      <c r="I26" s="262" t="s">
        <v>390</v>
      </c>
      <c r="J26" s="263"/>
      <c r="K26" s="263"/>
      <c r="L26" s="264"/>
      <c r="N26" s="126" t="s">
        <v>392</v>
      </c>
      <c r="O26" s="303">
        <f>'DeepBP-L_Facility'!F28</f>
        <v>0</v>
      </c>
    </row>
    <row r="27" spans="1:15" ht="15" thickBot="1" x14ac:dyDescent="0.4"/>
    <row r="28" spans="1:15" ht="15" thickBot="1" x14ac:dyDescent="0.4">
      <c r="A28" s="436" t="s">
        <v>395</v>
      </c>
      <c r="B28" s="515"/>
      <c r="C28" s="515"/>
      <c r="D28" s="437"/>
      <c r="E28" s="436" t="s">
        <v>158</v>
      </c>
      <c r="F28" s="437"/>
      <c r="I28" s="436" t="s">
        <v>395</v>
      </c>
      <c r="J28" s="515"/>
      <c r="K28" s="515"/>
      <c r="L28" s="437"/>
      <c r="M28" s="436" t="s">
        <v>158</v>
      </c>
      <c r="N28" s="437"/>
    </row>
    <row r="29" spans="1:15" ht="15" customHeight="1" x14ac:dyDescent="0.35">
      <c r="A29" s="432" t="s">
        <v>143</v>
      </c>
      <c r="B29" s="505"/>
      <c r="C29" s="432" t="s">
        <v>144</v>
      </c>
      <c r="D29" s="505"/>
      <c r="E29" s="432" t="s">
        <v>159</v>
      </c>
      <c r="F29" s="505"/>
      <c r="I29" s="432" t="s">
        <v>143</v>
      </c>
      <c r="J29" s="505"/>
      <c r="K29" s="432" t="s">
        <v>144</v>
      </c>
      <c r="L29" s="505"/>
      <c r="M29" s="432" t="s">
        <v>159</v>
      </c>
      <c r="N29" s="505"/>
    </row>
    <row r="30" spans="1:15" ht="15" thickBot="1" x14ac:dyDescent="0.4">
      <c r="A30" s="506"/>
      <c r="B30" s="507"/>
      <c r="C30" s="506"/>
      <c r="D30" s="507"/>
      <c r="E30" s="506"/>
      <c r="F30" s="507"/>
      <c r="I30" s="506"/>
      <c r="J30" s="507"/>
      <c r="K30" s="506"/>
      <c r="L30" s="507"/>
      <c r="M30" s="506"/>
      <c r="N30" s="507"/>
    </row>
    <row r="31" spans="1:15" ht="15" thickBot="1" x14ac:dyDescent="0.4">
      <c r="A31" s="508">
        <f>DeepBP_Facility!H49</f>
        <v>0</v>
      </c>
      <c r="B31" s="509"/>
      <c r="C31" s="508">
        <f>DeepBP_Facility!I49</f>
        <v>0</v>
      </c>
      <c r="D31" s="509"/>
      <c r="E31" s="540">
        <f>DeepBP_Facility!J49</f>
        <v>0</v>
      </c>
      <c r="F31" s="540"/>
      <c r="I31" s="508">
        <f>'DeepBP-L_Facility'!H62</f>
        <v>0</v>
      </c>
      <c r="J31" s="509"/>
      <c r="K31" s="508">
        <f>'DeepBP-L_Facility'!I62</f>
        <v>0</v>
      </c>
      <c r="L31" s="509"/>
      <c r="M31" s="508">
        <f>'DeepBP-L_Facility'!J62</f>
        <v>0</v>
      </c>
      <c r="N31" s="509"/>
    </row>
    <row r="32" spans="1:15" ht="15.5" thickTop="1" thickBot="1" x14ac:dyDescent="0.4">
      <c r="I32" s="516" t="s">
        <v>393</v>
      </c>
      <c r="J32" s="441"/>
      <c r="K32" s="441"/>
      <c r="L32" s="517"/>
    </row>
    <row r="33" spans="1:15" ht="15" customHeight="1" thickBot="1" x14ac:dyDescent="0.4">
      <c r="I33" s="518" t="s">
        <v>394</v>
      </c>
      <c r="J33" s="519"/>
      <c r="K33" s="508">
        <f>'DeepBP-L_Facility'!G62</f>
        <v>0</v>
      </c>
      <c r="L33" s="509"/>
    </row>
    <row r="34" spans="1:15" ht="15" customHeight="1" thickBot="1" x14ac:dyDescent="0.4">
      <c r="I34" s="255"/>
      <c r="J34" s="255"/>
      <c r="K34" s="252"/>
      <c r="L34" s="252"/>
    </row>
    <row r="35" spans="1:15" ht="15" customHeight="1" thickBot="1" x14ac:dyDescent="0.4">
      <c r="A35" s="259" t="s">
        <v>396</v>
      </c>
      <c r="B35" s="260"/>
      <c r="C35" s="260"/>
      <c r="D35" s="261"/>
      <c r="I35" s="520" t="s">
        <v>399</v>
      </c>
      <c r="J35" s="521"/>
      <c r="K35" s="521"/>
      <c r="L35" s="522"/>
    </row>
    <row r="36" spans="1:15" ht="15.75" customHeight="1" thickBot="1" x14ac:dyDescent="0.4">
      <c r="C36" s="129" t="s">
        <v>397</v>
      </c>
      <c r="F36" s="510" t="s">
        <v>163</v>
      </c>
      <c r="G36" s="511"/>
      <c r="K36" s="129" t="s">
        <v>397</v>
      </c>
      <c r="N36" s="510" t="s">
        <v>163</v>
      </c>
      <c r="O36" s="511"/>
    </row>
    <row r="37" spans="1:15" ht="15" thickBot="1" x14ac:dyDescent="0.4">
      <c r="F37" s="159">
        <f>DeepBP_Material!I29</f>
        <v>0</v>
      </c>
      <c r="G37" s="160"/>
      <c r="N37" s="159">
        <f>'DeepBP-L_Material'!I29</f>
        <v>0</v>
      </c>
      <c r="O37" s="160"/>
    </row>
    <row r="38" spans="1:15" ht="15.5" thickTop="1" thickBot="1" x14ac:dyDescent="0.4">
      <c r="A38" s="26" t="s">
        <v>184</v>
      </c>
      <c r="I38" s="26" t="s">
        <v>184</v>
      </c>
    </row>
    <row r="39" spans="1:15" ht="32.25" customHeight="1" thickBot="1" x14ac:dyDescent="0.4">
      <c r="A39" s="512" t="s">
        <v>166</v>
      </c>
      <c r="B39" s="513"/>
      <c r="C39" s="514"/>
      <c r="D39" s="148" t="s">
        <v>398</v>
      </c>
      <c r="I39" s="512" t="s">
        <v>166</v>
      </c>
      <c r="J39" s="513"/>
      <c r="K39" s="514"/>
      <c r="L39" s="148" t="s">
        <v>398</v>
      </c>
    </row>
    <row r="40" spans="1:15" x14ac:dyDescent="0.35">
      <c r="A40" s="542">
        <f>DeepBP_Material!A43</f>
        <v>0</v>
      </c>
      <c r="B40" s="542"/>
      <c r="C40" s="542"/>
      <c r="D40" s="256" t="str">
        <f>DeepBP_Material!J43</f>
        <v>0</v>
      </c>
      <c r="F40" s="149" t="s">
        <v>185</v>
      </c>
      <c r="I40" s="542">
        <f>'DeepBP-L_Material'!A43</f>
        <v>0</v>
      </c>
      <c r="J40" s="542"/>
      <c r="K40" s="542"/>
      <c r="L40" s="256" t="str">
        <f>'DeepBP-L_Material'!J43</f>
        <v>0</v>
      </c>
      <c r="N40" s="149" t="s">
        <v>185</v>
      </c>
    </row>
    <row r="41" spans="1:15" ht="15" thickBot="1" x14ac:dyDescent="0.4">
      <c r="A41" s="541">
        <f>DeepBP_Material!A44</f>
        <v>0</v>
      </c>
      <c r="B41" s="541"/>
      <c r="C41" s="541"/>
      <c r="D41" s="258" t="str">
        <f>DeepBP_Material!J44</f>
        <v>0</v>
      </c>
      <c r="F41" s="149" t="s">
        <v>186</v>
      </c>
      <c r="I41" s="541">
        <f>'DeepBP-L_Material'!A44</f>
        <v>0</v>
      </c>
      <c r="J41" s="541"/>
      <c r="K41" s="541"/>
      <c r="L41" s="257" t="str">
        <f>'DeepBP-L_Material'!J44</f>
        <v>0</v>
      </c>
      <c r="N41" s="149" t="s">
        <v>186</v>
      </c>
    </row>
    <row r="42" spans="1:15" ht="15.5" thickTop="1" thickBot="1" x14ac:dyDescent="0.4">
      <c r="A42" s="541">
        <f>DeepBP_Material!A45</f>
        <v>0</v>
      </c>
      <c r="B42" s="541"/>
      <c r="C42" s="541"/>
      <c r="D42" s="257" t="str">
        <f>DeepBP_Material!J45</f>
        <v>0</v>
      </c>
      <c r="F42" s="543">
        <f>DeepBP_Material!K69</f>
        <v>0</v>
      </c>
      <c r="G42" s="544"/>
      <c r="I42" s="541">
        <f>'DeepBP-L_Material'!A45</f>
        <v>0</v>
      </c>
      <c r="J42" s="541"/>
      <c r="K42" s="541"/>
      <c r="L42" s="257" t="str">
        <f>'DeepBP-L_Material'!J45</f>
        <v>0</v>
      </c>
      <c r="N42" s="543">
        <f>'DeepBP-L_Material'!K69</f>
        <v>0</v>
      </c>
      <c r="O42" s="544"/>
    </row>
    <row r="43" spans="1:15" ht="15" thickTop="1" x14ac:dyDescent="0.35">
      <c r="A43" s="541">
        <f>DeepBP_Material!A46</f>
        <v>0</v>
      </c>
      <c r="B43" s="541"/>
      <c r="C43" s="541"/>
      <c r="D43" s="257" t="str">
        <f>DeepBP_Material!J46</f>
        <v>0</v>
      </c>
      <c r="I43" s="541">
        <f>'DeepBP-L_Material'!A46</f>
        <v>0</v>
      </c>
      <c r="J43" s="541"/>
      <c r="K43" s="541"/>
      <c r="L43" s="257" t="str">
        <f>'DeepBP-L_Material'!J46</f>
        <v>0</v>
      </c>
    </row>
    <row r="44" spans="1:15" ht="15" thickBot="1" x14ac:dyDescent="0.4">
      <c r="A44" s="541">
        <f>DeepBP_Material!A47</f>
        <v>0</v>
      </c>
      <c r="B44" s="541"/>
      <c r="C44" s="541"/>
      <c r="D44" s="257" t="str">
        <f>DeepBP_Material!J47</f>
        <v>0</v>
      </c>
      <c r="F44" s="254" t="s">
        <v>400</v>
      </c>
      <c r="I44" s="541">
        <f>'DeepBP-L_Material'!A47</f>
        <v>0</v>
      </c>
      <c r="J44" s="541"/>
      <c r="K44" s="541"/>
      <c r="L44" s="257" t="str">
        <f>'DeepBP-L_Material'!J47</f>
        <v>0</v>
      </c>
      <c r="N44" s="254" t="s">
        <v>402</v>
      </c>
    </row>
    <row r="45" spans="1:15" ht="15.5" thickTop="1" thickBot="1" x14ac:dyDescent="0.4">
      <c r="A45" s="541">
        <f>DeepBP_Material!A48</f>
        <v>0</v>
      </c>
      <c r="B45" s="541"/>
      <c r="C45" s="541"/>
      <c r="D45" s="257" t="str">
        <f>DeepBP_Material!J48</f>
        <v>0</v>
      </c>
      <c r="F45" s="147" t="str">
        <f>DeepBP_Material!H66</f>
        <v/>
      </c>
      <c r="I45" s="541">
        <f>'DeepBP-L_Material'!A48</f>
        <v>0</v>
      </c>
      <c r="J45" s="541"/>
      <c r="K45" s="541"/>
      <c r="L45" s="257" t="str">
        <f>'DeepBP-L_Material'!J48</f>
        <v>0</v>
      </c>
      <c r="N45" s="147" t="str">
        <f>'DeepBP-L_Material'!H66</f>
        <v/>
      </c>
    </row>
    <row r="46" spans="1:15" ht="15.5" thickTop="1" thickBot="1" x14ac:dyDescent="0.4">
      <c r="A46" s="541">
        <f>DeepBP_Material!A49</f>
        <v>0</v>
      </c>
      <c r="B46" s="541"/>
      <c r="C46" s="541"/>
      <c r="D46" s="150" t="str">
        <f>DeepBP_Material!J49</f>
        <v>0</v>
      </c>
      <c r="F46" s="254" t="s">
        <v>401</v>
      </c>
      <c r="I46" s="541">
        <f>'DeepBP-L_Material'!A49</f>
        <v>0</v>
      </c>
      <c r="J46" s="541"/>
      <c r="K46" s="541"/>
      <c r="L46" s="257" t="str">
        <f>'DeepBP-L_Material'!J49</f>
        <v>0</v>
      </c>
      <c r="N46" s="254" t="s">
        <v>401</v>
      </c>
    </row>
    <row r="47" spans="1:15" ht="15.5" thickTop="1" thickBot="1" x14ac:dyDescent="0.4">
      <c r="A47" s="541">
        <f>DeepBP_Material!A50</f>
        <v>0</v>
      </c>
      <c r="B47" s="541"/>
      <c r="C47" s="541"/>
      <c r="D47" s="150" t="str">
        <f>DeepBP_Material!J50</f>
        <v>0</v>
      </c>
      <c r="F47" s="147">
        <f>DeepBP_Material!F83</f>
        <v>0</v>
      </c>
      <c r="G47" s="26" t="s">
        <v>381</v>
      </c>
      <c r="I47" s="541">
        <f>'DeepBP-L_Material'!A50</f>
        <v>0</v>
      </c>
      <c r="J47" s="541"/>
      <c r="K47" s="541"/>
      <c r="L47" s="150" t="str">
        <f>'DeepBP-L_Material'!J50</f>
        <v>0</v>
      </c>
      <c r="N47" s="147">
        <f>'DeepBP-L_Material'!F83</f>
        <v>0</v>
      </c>
      <c r="O47" s="26" t="s">
        <v>381</v>
      </c>
    </row>
    <row r="48" spans="1:15" ht="15" thickTop="1" x14ac:dyDescent="0.35"/>
    <row r="50" spans="2:10" x14ac:dyDescent="0.35">
      <c r="B50" s="26" t="s">
        <v>403</v>
      </c>
    </row>
    <row r="62" spans="2:10" ht="15" thickBot="1" x14ac:dyDescent="0.4">
      <c r="E62" s="26" t="s">
        <v>430</v>
      </c>
    </row>
    <row r="63" spans="2:10" ht="30" customHeight="1" thickBot="1" x14ac:dyDescent="0.4">
      <c r="F63" s="549" t="s">
        <v>437</v>
      </c>
      <c r="G63" s="550"/>
      <c r="H63" s="550"/>
      <c r="I63" s="550"/>
      <c r="J63" s="551"/>
    </row>
    <row r="64" spans="2:10" x14ac:dyDescent="0.35">
      <c r="F64" s="315" t="s">
        <v>433</v>
      </c>
      <c r="G64" s="545" t="s">
        <v>434</v>
      </c>
      <c r="H64" s="546"/>
      <c r="I64" s="547" t="s">
        <v>435</v>
      </c>
      <c r="J64" s="548"/>
    </row>
    <row r="65" spans="6:16" ht="15" thickBot="1" x14ac:dyDescent="0.4">
      <c r="F65" s="316" t="s">
        <v>436</v>
      </c>
      <c r="G65" s="552" t="s">
        <v>438</v>
      </c>
      <c r="H65" s="553"/>
      <c r="I65" s="552" t="s">
        <v>439</v>
      </c>
      <c r="J65" s="553"/>
    </row>
    <row r="66" spans="6:16" ht="15" thickTop="1" x14ac:dyDescent="0.35">
      <c r="F66" s="317">
        <v>0.25</v>
      </c>
      <c r="G66" s="311">
        <v>21</v>
      </c>
      <c r="H66" s="312">
        <v>0.75</v>
      </c>
      <c r="I66" s="313">
        <v>908</v>
      </c>
      <c r="J66" s="318">
        <v>34</v>
      </c>
    </row>
    <row r="67" spans="6:16" x14ac:dyDescent="0.35">
      <c r="F67" s="319">
        <v>0.5</v>
      </c>
      <c r="G67" s="309">
        <v>41</v>
      </c>
      <c r="H67" s="310">
        <v>1.5</v>
      </c>
      <c r="I67" s="314">
        <v>1815</v>
      </c>
      <c r="J67" s="320">
        <v>67</v>
      </c>
    </row>
    <row r="68" spans="6:16" ht="15" thickBot="1" x14ac:dyDescent="0.4">
      <c r="F68" s="321">
        <v>1</v>
      </c>
      <c r="G68" s="322">
        <v>83</v>
      </c>
      <c r="H68" s="323">
        <v>3.1</v>
      </c>
      <c r="I68" s="324">
        <v>3630</v>
      </c>
      <c r="J68" s="325">
        <v>134</v>
      </c>
    </row>
    <row r="69" spans="6:16" x14ac:dyDescent="0.35">
      <c r="P69" t="s">
        <v>432</v>
      </c>
    </row>
  </sheetData>
  <sheetProtection sheet="1" objects="1" scenarios="1"/>
  <mergeCells count="65">
    <mergeCell ref="G64:H64"/>
    <mergeCell ref="I64:J64"/>
    <mergeCell ref="F63:J63"/>
    <mergeCell ref="G65:H65"/>
    <mergeCell ref="I65:J65"/>
    <mergeCell ref="I45:K45"/>
    <mergeCell ref="I46:K46"/>
    <mergeCell ref="I47:K47"/>
    <mergeCell ref="N42:O42"/>
    <mergeCell ref="F42:G42"/>
    <mergeCell ref="I40:K40"/>
    <mergeCell ref="I41:K41"/>
    <mergeCell ref="I42:K42"/>
    <mergeCell ref="I43:K43"/>
    <mergeCell ref="I44:K44"/>
    <mergeCell ref="A31:B31"/>
    <mergeCell ref="C31:D31"/>
    <mergeCell ref="E31:F31"/>
    <mergeCell ref="A47:C47"/>
    <mergeCell ref="A39:C39"/>
    <mergeCell ref="A40:C40"/>
    <mergeCell ref="A41:C41"/>
    <mergeCell ref="A42:C42"/>
    <mergeCell ref="A43:C43"/>
    <mergeCell ref="A44:C44"/>
    <mergeCell ref="A45:C45"/>
    <mergeCell ref="A46:C46"/>
    <mergeCell ref="A28:D28"/>
    <mergeCell ref="E28:F28"/>
    <mergeCell ref="A29:B30"/>
    <mergeCell ref="C29:D30"/>
    <mergeCell ref="E29:F30"/>
    <mergeCell ref="C11:F11"/>
    <mergeCell ref="C12:F12"/>
    <mergeCell ref="C13:F13"/>
    <mergeCell ref="J17:J18"/>
    <mergeCell ref="C18:D18"/>
    <mergeCell ref="E18:H18"/>
    <mergeCell ref="E24:H24"/>
    <mergeCell ref="C19:D19"/>
    <mergeCell ref="C20:D20"/>
    <mergeCell ref="C21:D21"/>
    <mergeCell ref="C22:D22"/>
    <mergeCell ref="C23:D23"/>
    <mergeCell ref="C24:D24"/>
    <mergeCell ref="E19:H19"/>
    <mergeCell ref="E20:H20"/>
    <mergeCell ref="E21:H21"/>
    <mergeCell ref="E22:H22"/>
    <mergeCell ref="E23:H23"/>
    <mergeCell ref="M28:N28"/>
    <mergeCell ref="M29:N30"/>
    <mergeCell ref="M31:N31"/>
    <mergeCell ref="F36:G36"/>
    <mergeCell ref="I39:K39"/>
    <mergeCell ref="K29:L30"/>
    <mergeCell ref="I29:J30"/>
    <mergeCell ref="I28:L28"/>
    <mergeCell ref="K31:L31"/>
    <mergeCell ref="I31:J31"/>
    <mergeCell ref="I32:L32"/>
    <mergeCell ref="I33:J33"/>
    <mergeCell ref="N36:O36"/>
    <mergeCell ref="I35:L35"/>
    <mergeCell ref="K33:L33"/>
  </mergeCells>
  <pageMargins left="0.3" right="0.1" top="0.75" bottom="0.5" header="0.3" footer="0.3"/>
  <pageSetup scale="65" fitToWidth="0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41" r:id="rId4" name="Button 1">
              <controlPr defaultSize="0" print="0" autoFill="0" autoPict="0" macro="[0]!PrintCurrentSheet">
                <anchor moveWithCells="1" sizeWithCells="1">
                  <from>
                    <xdr:col>5</xdr:col>
                    <xdr:colOff>25400</xdr:colOff>
                    <xdr:row>6</xdr:row>
                    <xdr:rowOff>0</xdr:rowOff>
                  </from>
                  <to>
                    <xdr:col>6</xdr:col>
                    <xdr:colOff>368300</xdr:colOff>
                    <xdr:row>8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5"/>
  <dimension ref="A1:Q145"/>
  <sheetViews>
    <sheetView topLeftCell="A91" zoomScale="85" zoomScaleNormal="85" workbookViewId="0">
      <selection activeCell="K136" sqref="K136"/>
    </sheetView>
  </sheetViews>
  <sheetFormatPr defaultColWidth="8.81640625" defaultRowHeight="14.5" x14ac:dyDescent="0.35"/>
  <cols>
    <col min="1" max="1" width="31.81640625" customWidth="1"/>
    <col min="2" max="2" width="10.1796875" customWidth="1"/>
    <col min="3" max="3" width="10" customWidth="1"/>
    <col min="4" max="4" width="12.81640625" customWidth="1"/>
    <col min="7" max="7" width="10.453125" customWidth="1"/>
    <col min="8" max="8" width="11.453125" customWidth="1"/>
    <col min="9" max="9" width="11.81640625" customWidth="1"/>
    <col min="11" max="11" width="10.1796875" customWidth="1"/>
    <col min="12" max="12" width="28" customWidth="1"/>
    <col min="13" max="13" width="15.453125" customWidth="1"/>
  </cols>
  <sheetData>
    <row r="1" spans="1:10" ht="15" thickBot="1" x14ac:dyDescent="0.4">
      <c r="A1" t="s">
        <v>0</v>
      </c>
    </row>
    <row r="2" spans="1:10" ht="15.75" customHeight="1" thickBot="1" x14ac:dyDescent="0.4">
      <c r="G2" s="562" t="s">
        <v>1</v>
      </c>
    </row>
    <row r="3" spans="1:10" ht="16.5" customHeight="1" thickBot="1" x14ac:dyDescent="0.4">
      <c r="A3" s="1" t="s">
        <v>2</v>
      </c>
      <c r="B3" s="2"/>
      <c r="C3" s="2"/>
      <c r="D3" s="2"/>
      <c r="E3" s="2"/>
      <c r="F3" s="2"/>
      <c r="G3" s="563"/>
      <c r="H3" s="565" t="s">
        <v>3</v>
      </c>
      <c r="I3" s="565"/>
      <c r="J3" s="566"/>
    </row>
    <row r="4" spans="1:10" ht="16" thickBot="1" x14ac:dyDescent="0.4">
      <c r="A4" s="3"/>
      <c r="B4" s="4"/>
      <c r="C4" s="5"/>
      <c r="D4" s="6"/>
      <c r="E4" s="567" t="s">
        <v>87</v>
      </c>
      <c r="F4" s="568"/>
      <c r="G4" s="563"/>
      <c r="H4" s="571" t="s">
        <v>4</v>
      </c>
      <c r="I4" s="571"/>
      <c r="J4" s="572"/>
    </row>
    <row r="5" spans="1:10" ht="16" thickBot="1" x14ac:dyDescent="0.4">
      <c r="A5" s="81" t="s">
        <v>5</v>
      </c>
      <c r="B5" s="82"/>
      <c r="C5" s="81" t="s">
        <v>6</v>
      </c>
      <c r="D5" s="83"/>
      <c r="E5" s="569"/>
      <c r="F5" s="570"/>
      <c r="G5" s="564"/>
      <c r="H5" s="7" t="s">
        <v>7</v>
      </c>
      <c r="I5" s="8" t="s">
        <v>8</v>
      </c>
      <c r="J5" s="8" t="s">
        <v>9</v>
      </c>
    </row>
    <row r="6" spans="1:10" x14ac:dyDescent="0.35">
      <c r="A6" s="612" t="s">
        <v>82</v>
      </c>
      <c r="B6" s="613"/>
      <c r="C6" s="614" t="s">
        <v>75</v>
      </c>
      <c r="D6" s="614"/>
      <c r="E6" s="374">
        <v>1400</v>
      </c>
      <c r="F6" s="375"/>
      <c r="G6" s="9">
        <v>120</v>
      </c>
      <c r="H6" s="10">
        <v>65</v>
      </c>
      <c r="I6" s="11">
        <v>1.1000000000000001</v>
      </c>
      <c r="J6" s="11">
        <v>87</v>
      </c>
    </row>
    <row r="7" spans="1:10" x14ac:dyDescent="0.35">
      <c r="A7" s="603" t="s">
        <v>82</v>
      </c>
      <c r="B7" s="604"/>
      <c r="C7" s="588" t="s">
        <v>74</v>
      </c>
      <c r="D7" s="588"/>
      <c r="E7" s="377">
        <v>1400</v>
      </c>
      <c r="F7" s="378"/>
      <c r="G7" s="9">
        <v>120</v>
      </c>
      <c r="H7" s="12">
        <v>80</v>
      </c>
      <c r="I7" s="11">
        <v>1.3</v>
      </c>
      <c r="J7" s="11">
        <v>87</v>
      </c>
    </row>
    <row r="8" spans="1:10" x14ac:dyDescent="0.35">
      <c r="A8" s="603" t="s">
        <v>82</v>
      </c>
      <c r="B8" s="604"/>
      <c r="C8" s="588" t="s">
        <v>76</v>
      </c>
      <c r="D8" s="588"/>
      <c r="E8" s="377">
        <v>1400</v>
      </c>
      <c r="F8" s="378"/>
      <c r="G8" s="9">
        <v>120</v>
      </c>
      <c r="H8" s="12">
        <v>88</v>
      </c>
      <c r="I8" s="11">
        <v>1.5</v>
      </c>
      <c r="J8" s="11">
        <v>87</v>
      </c>
    </row>
    <row r="9" spans="1:10" x14ac:dyDescent="0.35">
      <c r="A9" s="603" t="s">
        <v>82</v>
      </c>
      <c r="B9" s="604"/>
      <c r="C9" s="588" t="s">
        <v>77</v>
      </c>
      <c r="D9" s="588"/>
      <c r="E9" s="377">
        <v>1400</v>
      </c>
      <c r="F9" s="378"/>
      <c r="G9" s="9">
        <v>120</v>
      </c>
      <c r="H9" s="13">
        <v>97</v>
      </c>
      <c r="I9" s="11">
        <v>1.6</v>
      </c>
      <c r="J9" s="11">
        <v>87</v>
      </c>
    </row>
    <row r="10" spans="1:10" x14ac:dyDescent="0.35">
      <c r="A10" s="603" t="s">
        <v>82</v>
      </c>
      <c r="B10" s="604"/>
      <c r="C10" s="588" t="s">
        <v>78</v>
      </c>
      <c r="D10" s="588"/>
      <c r="E10" s="377">
        <v>1400</v>
      </c>
      <c r="F10" s="378"/>
      <c r="G10" s="9">
        <v>120</v>
      </c>
      <c r="H10" s="12">
        <v>102</v>
      </c>
      <c r="I10" s="11">
        <v>1.65</v>
      </c>
      <c r="J10" s="11">
        <v>87</v>
      </c>
    </row>
    <row r="11" spans="1:10" x14ac:dyDescent="0.35">
      <c r="A11" s="603" t="s">
        <v>82</v>
      </c>
      <c r="B11" s="604"/>
      <c r="C11" s="588" t="s">
        <v>79</v>
      </c>
      <c r="D11" s="588"/>
      <c r="E11" s="377">
        <v>1400</v>
      </c>
      <c r="F11" s="378"/>
      <c r="G11" s="9">
        <v>120</v>
      </c>
      <c r="H11" s="13">
        <v>108</v>
      </c>
      <c r="I11" s="11">
        <v>1.7</v>
      </c>
      <c r="J11" s="11">
        <v>87</v>
      </c>
    </row>
    <row r="12" spans="1:10" x14ac:dyDescent="0.35">
      <c r="A12" s="603" t="s">
        <v>82</v>
      </c>
      <c r="B12" s="604"/>
      <c r="C12" s="588" t="s">
        <v>80</v>
      </c>
      <c r="D12" s="588"/>
      <c r="E12" s="377">
        <v>1400</v>
      </c>
      <c r="F12" s="378"/>
      <c r="G12" s="9">
        <v>120</v>
      </c>
      <c r="H12" s="13">
        <v>119</v>
      </c>
      <c r="I12" s="11">
        <v>1.9</v>
      </c>
      <c r="J12" s="11">
        <v>87</v>
      </c>
    </row>
    <row r="13" spans="1:10" x14ac:dyDescent="0.35">
      <c r="A13" s="593" t="s">
        <v>82</v>
      </c>
      <c r="B13" s="593"/>
      <c r="C13" s="593" t="s">
        <v>81</v>
      </c>
      <c r="D13" s="593"/>
      <c r="E13" s="579">
        <v>1400</v>
      </c>
      <c r="F13" s="580"/>
      <c r="G13" s="14">
        <v>120</v>
      </c>
      <c r="H13" s="15">
        <v>130</v>
      </c>
      <c r="I13" s="15">
        <v>2.1</v>
      </c>
      <c r="J13" s="15">
        <v>87</v>
      </c>
    </row>
    <row r="14" spans="1:10" x14ac:dyDescent="0.35">
      <c r="A14" s="603" t="s">
        <v>82</v>
      </c>
      <c r="B14" s="604"/>
      <c r="C14" s="596" t="s">
        <v>83</v>
      </c>
      <c r="D14" s="596"/>
      <c r="E14" s="581">
        <v>1660</v>
      </c>
      <c r="F14" s="582"/>
      <c r="G14" s="9">
        <v>120</v>
      </c>
      <c r="H14" s="13">
        <v>51</v>
      </c>
      <c r="I14" s="11">
        <v>0.84</v>
      </c>
      <c r="J14" s="11">
        <v>87</v>
      </c>
    </row>
    <row r="15" spans="1:10" x14ac:dyDescent="0.35">
      <c r="A15" s="603" t="s">
        <v>82</v>
      </c>
      <c r="B15" s="604"/>
      <c r="C15" s="588" t="s">
        <v>86</v>
      </c>
      <c r="D15" s="588"/>
      <c r="E15" s="377">
        <v>850</v>
      </c>
      <c r="F15" s="378"/>
      <c r="G15" s="9">
        <v>60</v>
      </c>
      <c r="H15" s="13">
        <v>56</v>
      </c>
      <c r="I15" s="11">
        <v>0.9</v>
      </c>
      <c r="J15" s="11">
        <v>83</v>
      </c>
    </row>
    <row r="16" spans="1:10" x14ac:dyDescent="0.35">
      <c r="A16" s="607" t="s">
        <v>82</v>
      </c>
      <c r="B16" s="608"/>
      <c r="C16" s="593" t="s">
        <v>84</v>
      </c>
      <c r="D16" s="593"/>
      <c r="E16" s="579">
        <v>330</v>
      </c>
      <c r="F16" s="580"/>
      <c r="G16" s="14">
        <v>40</v>
      </c>
      <c r="H16" s="15">
        <v>83</v>
      </c>
      <c r="I16" s="80">
        <v>1.3</v>
      </c>
      <c r="J16" s="80">
        <v>83</v>
      </c>
    </row>
    <row r="17" spans="1:10" x14ac:dyDescent="0.35">
      <c r="A17" s="594" t="s">
        <v>85</v>
      </c>
      <c r="B17" s="595"/>
      <c r="C17" s="596" t="s">
        <v>75</v>
      </c>
      <c r="D17" s="596"/>
      <c r="E17" s="581">
        <v>900</v>
      </c>
      <c r="F17" s="582"/>
      <c r="G17" s="9">
        <v>100</v>
      </c>
      <c r="H17" s="12">
        <v>100</v>
      </c>
      <c r="I17" s="11">
        <v>1.6</v>
      </c>
      <c r="J17" s="11">
        <v>87</v>
      </c>
    </row>
    <row r="18" spans="1:10" x14ac:dyDescent="0.35">
      <c r="A18" s="603" t="s">
        <v>85</v>
      </c>
      <c r="B18" s="604"/>
      <c r="C18" s="588" t="s">
        <v>74</v>
      </c>
      <c r="D18" s="588"/>
      <c r="E18" s="377">
        <v>900</v>
      </c>
      <c r="F18" s="378"/>
      <c r="G18" s="9">
        <v>100</v>
      </c>
      <c r="H18" s="13">
        <v>111</v>
      </c>
      <c r="I18" s="11">
        <v>1.7</v>
      </c>
      <c r="J18" s="11">
        <v>87</v>
      </c>
    </row>
    <row r="19" spans="1:10" x14ac:dyDescent="0.35">
      <c r="A19" s="603" t="s">
        <v>85</v>
      </c>
      <c r="B19" s="604"/>
      <c r="C19" s="588" t="s">
        <v>76</v>
      </c>
      <c r="D19" s="588"/>
      <c r="E19" s="377">
        <v>900</v>
      </c>
      <c r="F19" s="378"/>
      <c r="G19" s="9">
        <v>100</v>
      </c>
      <c r="H19" s="13">
        <v>116</v>
      </c>
      <c r="I19" s="11">
        <v>1.9</v>
      </c>
      <c r="J19" s="11">
        <v>87</v>
      </c>
    </row>
    <row r="20" spans="1:10" x14ac:dyDescent="0.35">
      <c r="A20" s="603" t="s">
        <v>85</v>
      </c>
      <c r="B20" s="604"/>
      <c r="C20" s="588" t="s">
        <v>77</v>
      </c>
      <c r="D20" s="588"/>
      <c r="E20" s="377">
        <v>900</v>
      </c>
      <c r="F20" s="378"/>
      <c r="G20" s="9">
        <v>100</v>
      </c>
      <c r="H20" s="13">
        <v>123</v>
      </c>
      <c r="I20" s="11">
        <v>2</v>
      </c>
      <c r="J20" s="11">
        <v>87</v>
      </c>
    </row>
    <row r="21" spans="1:10" x14ac:dyDescent="0.35">
      <c r="A21" s="603" t="s">
        <v>85</v>
      </c>
      <c r="B21" s="604"/>
      <c r="C21" s="588" t="s">
        <v>78</v>
      </c>
      <c r="D21" s="588"/>
      <c r="E21" s="377">
        <v>900</v>
      </c>
      <c r="F21" s="378"/>
      <c r="G21" s="9">
        <v>100</v>
      </c>
      <c r="H21" s="13">
        <v>130</v>
      </c>
      <c r="I21" s="11">
        <v>2.1</v>
      </c>
      <c r="J21" s="11">
        <v>87</v>
      </c>
    </row>
    <row r="22" spans="1:10" x14ac:dyDescent="0.35">
      <c r="A22" s="607" t="s">
        <v>85</v>
      </c>
      <c r="B22" s="608"/>
      <c r="C22" s="593" t="s">
        <v>79</v>
      </c>
      <c r="D22" s="593"/>
      <c r="E22" s="579">
        <v>900</v>
      </c>
      <c r="F22" s="580"/>
      <c r="G22" s="14">
        <v>100</v>
      </c>
      <c r="H22" s="15">
        <v>144</v>
      </c>
      <c r="I22" s="15">
        <v>2.2000000000000002</v>
      </c>
      <c r="J22" s="15">
        <v>87</v>
      </c>
    </row>
    <row r="23" spans="1:10" x14ac:dyDescent="0.35">
      <c r="A23" s="603" t="s">
        <v>85</v>
      </c>
      <c r="B23" s="604"/>
      <c r="C23" s="596" t="s">
        <v>83</v>
      </c>
      <c r="D23" s="596"/>
      <c r="E23" s="581">
        <v>1100</v>
      </c>
      <c r="F23" s="582"/>
      <c r="G23" s="9">
        <v>100</v>
      </c>
      <c r="H23" s="13">
        <v>51</v>
      </c>
      <c r="I23" s="11">
        <v>0.84</v>
      </c>
      <c r="J23" s="11">
        <v>87</v>
      </c>
    </row>
    <row r="24" spans="1:10" x14ac:dyDescent="0.35">
      <c r="A24" s="603" t="s">
        <v>85</v>
      </c>
      <c r="B24" s="604"/>
      <c r="C24" s="588" t="s">
        <v>86</v>
      </c>
      <c r="D24" s="588"/>
      <c r="E24" s="377">
        <v>650</v>
      </c>
      <c r="F24" s="378"/>
      <c r="G24" s="9">
        <v>50</v>
      </c>
      <c r="H24" s="13">
        <v>77</v>
      </c>
      <c r="I24" s="11">
        <v>0.9</v>
      </c>
      <c r="J24" s="11">
        <v>83</v>
      </c>
    </row>
    <row r="25" spans="1:10" x14ac:dyDescent="0.35">
      <c r="A25" s="607" t="s">
        <v>85</v>
      </c>
      <c r="B25" s="608"/>
      <c r="C25" s="593" t="s">
        <v>84</v>
      </c>
      <c r="D25" s="593"/>
      <c r="E25" s="579">
        <v>225</v>
      </c>
      <c r="F25" s="580"/>
      <c r="G25" s="14">
        <v>40</v>
      </c>
      <c r="H25" s="15">
        <v>83</v>
      </c>
      <c r="I25" s="15">
        <v>1.3</v>
      </c>
      <c r="J25" s="15">
        <v>83</v>
      </c>
    </row>
    <row r="26" spans="1:10" x14ac:dyDescent="0.35">
      <c r="A26" s="594" t="s">
        <v>10</v>
      </c>
      <c r="B26" s="595"/>
      <c r="C26" s="596" t="s">
        <v>11</v>
      </c>
      <c r="D26" s="596"/>
      <c r="E26" s="581">
        <v>1200</v>
      </c>
      <c r="F26" s="582"/>
      <c r="G26" s="9">
        <v>120</v>
      </c>
      <c r="H26" s="13">
        <v>104</v>
      </c>
      <c r="I26" s="11">
        <v>1.7</v>
      </c>
      <c r="J26" s="11">
        <v>88</v>
      </c>
    </row>
    <row r="27" spans="1:10" x14ac:dyDescent="0.35">
      <c r="A27" s="603" t="s">
        <v>10</v>
      </c>
      <c r="B27" s="604"/>
      <c r="C27" s="588" t="s">
        <v>12</v>
      </c>
      <c r="D27" s="588"/>
      <c r="E27" s="377">
        <v>600</v>
      </c>
      <c r="F27" s="378"/>
      <c r="G27" s="9">
        <v>50</v>
      </c>
      <c r="H27" s="13">
        <v>77</v>
      </c>
      <c r="I27" s="11">
        <v>1.2</v>
      </c>
      <c r="J27" s="11">
        <v>88</v>
      </c>
    </row>
    <row r="28" spans="1:10" x14ac:dyDescent="0.35">
      <c r="A28" s="607" t="s">
        <v>10</v>
      </c>
      <c r="B28" s="608"/>
      <c r="C28" s="593" t="s">
        <v>13</v>
      </c>
      <c r="D28" s="593"/>
      <c r="E28" s="579">
        <v>1000</v>
      </c>
      <c r="F28" s="580"/>
      <c r="G28" s="14">
        <v>70</v>
      </c>
      <c r="H28" s="15">
        <v>65</v>
      </c>
      <c r="I28" s="15">
        <v>1.1000000000000001</v>
      </c>
      <c r="J28" s="15">
        <v>92</v>
      </c>
    </row>
    <row r="29" spans="1:10" x14ac:dyDescent="0.35">
      <c r="A29" s="616" t="s">
        <v>14</v>
      </c>
      <c r="B29" s="617"/>
      <c r="C29" s="593" t="s">
        <v>15</v>
      </c>
      <c r="D29" s="593"/>
      <c r="E29" s="583">
        <v>1100</v>
      </c>
      <c r="F29" s="584"/>
      <c r="G29" s="16">
        <v>120</v>
      </c>
      <c r="H29" s="17">
        <v>51</v>
      </c>
      <c r="I29" s="18">
        <v>0.82</v>
      </c>
      <c r="J29" s="18">
        <v>85</v>
      </c>
    </row>
    <row r="30" spans="1:10" x14ac:dyDescent="0.35">
      <c r="A30" s="616" t="s">
        <v>16</v>
      </c>
      <c r="B30" s="617"/>
      <c r="C30" s="593" t="s">
        <v>15</v>
      </c>
      <c r="D30" s="593"/>
      <c r="E30" s="583">
        <v>400</v>
      </c>
      <c r="F30" s="584"/>
      <c r="G30" s="16">
        <v>120</v>
      </c>
      <c r="H30" s="17">
        <v>40</v>
      </c>
      <c r="I30" s="19">
        <v>0.85</v>
      </c>
      <c r="J30" s="19">
        <v>83</v>
      </c>
    </row>
    <row r="31" spans="1:10" x14ac:dyDescent="0.35">
      <c r="A31" s="594" t="s">
        <v>17</v>
      </c>
      <c r="B31" s="595"/>
      <c r="C31" s="593" t="s">
        <v>18</v>
      </c>
      <c r="D31" s="593"/>
      <c r="E31" s="581">
        <v>440</v>
      </c>
      <c r="F31" s="582"/>
      <c r="G31" s="9">
        <v>60</v>
      </c>
      <c r="H31" s="13">
        <v>19</v>
      </c>
      <c r="I31" s="11">
        <v>0.3</v>
      </c>
      <c r="J31" s="11">
        <v>90</v>
      </c>
    </row>
    <row r="32" spans="1:10" x14ac:dyDescent="0.35">
      <c r="A32" s="603" t="s">
        <v>17</v>
      </c>
      <c r="B32" s="604"/>
      <c r="C32" s="596" t="s">
        <v>19</v>
      </c>
      <c r="D32" s="596"/>
      <c r="E32" s="377">
        <v>440</v>
      </c>
      <c r="F32" s="378"/>
      <c r="G32" s="9">
        <v>48</v>
      </c>
      <c r="H32" s="13">
        <v>25</v>
      </c>
      <c r="I32" s="11">
        <v>0.41</v>
      </c>
      <c r="J32" s="11">
        <v>90</v>
      </c>
    </row>
    <row r="33" spans="1:10" x14ac:dyDescent="0.35">
      <c r="A33" s="603" t="s">
        <v>17</v>
      </c>
      <c r="B33" s="604"/>
      <c r="C33" s="593" t="s">
        <v>20</v>
      </c>
      <c r="D33" s="593"/>
      <c r="E33" s="377">
        <v>300</v>
      </c>
      <c r="F33" s="378"/>
      <c r="G33" s="9">
        <v>25</v>
      </c>
      <c r="H33" s="13">
        <v>65</v>
      </c>
      <c r="I33" s="11">
        <v>1.1000000000000001</v>
      </c>
      <c r="J33" s="11">
        <v>90</v>
      </c>
    </row>
    <row r="34" spans="1:10" x14ac:dyDescent="0.35">
      <c r="A34" s="603" t="s">
        <v>17</v>
      </c>
      <c r="B34" s="604"/>
      <c r="C34" s="593" t="s">
        <v>21</v>
      </c>
      <c r="D34" s="593"/>
      <c r="E34" s="377">
        <v>154</v>
      </c>
      <c r="F34" s="378"/>
      <c r="G34" s="9">
        <v>15</v>
      </c>
      <c r="H34" s="13">
        <v>65</v>
      </c>
      <c r="I34" s="11">
        <v>1.1000000000000001</v>
      </c>
      <c r="J34" s="11">
        <v>90</v>
      </c>
    </row>
    <row r="35" spans="1:10" x14ac:dyDescent="0.35">
      <c r="A35" s="603" t="s">
        <v>17</v>
      </c>
      <c r="B35" s="604"/>
      <c r="C35" s="596" t="s">
        <v>22</v>
      </c>
      <c r="D35" s="596"/>
      <c r="E35" s="377">
        <v>423</v>
      </c>
      <c r="F35" s="378"/>
      <c r="G35" s="9">
        <v>60</v>
      </c>
      <c r="H35" s="13">
        <v>59</v>
      </c>
      <c r="I35" s="11">
        <v>0.97</v>
      </c>
      <c r="J35" s="11">
        <v>90</v>
      </c>
    </row>
    <row r="36" spans="1:10" x14ac:dyDescent="0.35">
      <c r="A36" s="607" t="s">
        <v>17</v>
      </c>
      <c r="B36" s="608"/>
      <c r="C36" s="593" t="s">
        <v>23</v>
      </c>
      <c r="D36" s="593"/>
      <c r="E36" s="579">
        <v>25</v>
      </c>
      <c r="F36" s="580"/>
      <c r="G36" s="14">
        <v>6</v>
      </c>
      <c r="H36" s="15">
        <v>88</v>
      </c>
      <c r="I36" s="15">
        <v>1.4</v>
      </c>
      <c r="J36" s="15">
        <v>90</v>
      </c>
    </row>
    <row r="37" spans="1:10" x14ac:dyDescent="0.35">
      <c r="A37" s="594" t="s">
        <v>88</v>
      </c>
      <c r="B37" s="595"/>
      <c r="C37" s="593" t="s">
        <v>25</v>
      </c>
      <c r="D37" s="593"/>
      <c r="E37" s="581">
        <v>120</v>
      </c>
      <c r="F37" s="582"/>
      <c r="G37" s="20">
        <v>20</v>
      </c>
      <c r="H37" s="13">
        <v>117</v>
      </c>
      <c r="I37" s="11">
        <v>2</v>
      </c>
      <c r="J37" s="11">
        <v>56</v>
      </c>
    </row>
    <row r="38" spans="1:10" x14ac:dyDescent="0.35">
      <c r="A38" s="603" t="s">
        <v>24</v>
      </c>
      <c r="B38" s="604"/>
      <c r="C38" s="596" t="s">
        <v>26</v>
      </c>
      <c r="D38" s="596"/>
      <c r="E38" s="377">
        <v>150</v>
      </c>
      <c r="F38" s="378"/>
      <c r="G38" s="20">
        <v>15</v>
      </c>
      <c r="H38" s="13">
        <v>117</v>
      </c>
      <c r="I38" s="11">
        <v>2</v>
      </c>
      <c r="J38" s="11">
        <v>56</v>
      </c>
    </row>
    <row r="39" spans="1:10" x14ac:dyDescent="0.35">
      <c r="A39" s="607" t="s">
        <v>24</v>
      </c>
      <c r="B39" s="608"/>
      <c r="C39" s="593" t="s">
        <v>27</v>
      </c>
      <c r="D39" s="593"/>
      <c r="E39" s="579">
        <v>30</v>
      </c>
      <c r="F39" s="580"/>
      <c r="G39" s="21">
        <v>4</v>
      </c>
      <c r="H39" s="15">
        <v>117</v>
      </c>
      <c r="I39" s="15">
        <v>2</v>
      </c>
      <c r="J39" s="15">
        <v>56</v>
      </c>
    </row>
    <row r="40" spans="1:10" ht="15" thickBot="1" x14ac:dyDescent="0.4">
      <c r="A40" s="609" t="s">
        <v>28</v>
      </c>
      <c r="B40" s="610"/>
      <c r="C40" s="22" t="s">
        <v>29</v>
      </c>
      <c r="D40" s="22"/>
      <c r="E40" s="605">
        <v>100</v>
      </c>
      <c r="F40" s="606"/>
      <c r="G40" s="23">
        <v>20</v>
      </c>
      <c r="H40" s="24">
        <v>110</v>
      </c>
      <c r="I40" s="25">
        <v>1.8</v>
      </c>
      <c r="J40" s="25">
        <v>57</v>
      </c>
    </row>
    <row r="41" spans="1:10" x14ac:dyDescent="0.35">
      <c r="A41" s="26" t="s">
        <v>30</v>
      </c>
      <c r="G41" t="s">
        <v>406</v>
      </c>
    </row>
    <row r="42" spans="1:10" x14ac:dyDescent="0.35">
      <c r="A42" t="s">
        <v>31</v>
      </c>
    </row>
    <row r="43" spans="1:10" x14ac:dyDescent="0.35">
      <c r="A43" t="s">
        <v>32</v>
      </c>
    </row>
    <row r="44" spans="1:10" x14ac:dyDescent="0.35">
      <c r="A44" t="s">
        <v>33</v>
      </c>
    </row>
    <row r="45" spans="1:10" x14ac:dyDescent="0.35">
      <c r="A45" t="s">
        <v>34</v>
      </c>
    </row>
    <row r="46" spans="1:10" ht="15" thickBot="1" x14ac:dyDescent="0.4">
      <c r="A46" t="s">
        <v>35</v>
      </c>
    </row>
    <row r="47" spans="1:10" x14ac:dyDescent="0.35">
      <c r="A47" s="573" t="s">
        <v>36</v>
      </c>
      <c r="B47" s="574"/>
      <c r="C47" s="574"/>
      <c r="D47" s="575"/>
    </row>
    <row r="48" spans="1:10" ht="15" thickBot="1" x14ac:dyDescent="0.4">
      <c r="A48" s="576"/>
      <c r="B48" s="577"/>
      <c r="C48" s="577"/>
      <c r="D48" s="578"/>
    </row>
    <row r="49" spans="1:6" ht="15" thickBot="1" x14ac:dyDescent="0.4">
      <c r="A49" s="589" t="s">
        <v>37</v>
      </c>
      <c r="B49" s="590"/>
      <c r="C49" s="591" t="s">
        <v>38</v>
      </c>
      <c r="D49" s="592"/>
    </row>
    <row r="50" spans="1:6" x14ac:dyDescent="0.35">
      <c r="A50" s="27">
        <v>10</v>
      </c>
      <c r="B50" s="28">
        <v>25</v>
      </c>
      <c r="C50" s="611">
        <v>6</v>
      </c>
      <c r="D50" s="611"/>
    </row>
    <row r="51" spans="1:6" x14ac:dyDescent="0.35">
      <c r="A51" s="29">
        <v>26</v>
      </c>
      <c r="B51" s="30">
        <v>40</v>
      </c>
      <c r="C51" s="587">
        <v>8</v>
      </c>
      <c r="D51" s="587"/>
    </row>
    <row r="52" spans="1:6" x14ac:dyDescent="0.35">
      <c r="A52" s="29">
        <v>41</v>
      </c>
      <c r="B52" s="30">
        <v>100</v>
      </c>
      <c r="C52" s="587">
        <v>10</v>
      </c>
      <c r="D52" s="587"/>
    </row>
    <row r="53" spans="1:6" x14ac:dyDescent="0.35">
      <c r="A53" s="29">
        <v>101</v>
      </c>
      <c r="B53" s="30">
        <v>150</v>
      </c>
      <c r="C53" s="587">
        <v>15</v>
      </c>
      <c r="D53" s="587"/>
    </row>
    <row r="54" spans="1:6" x14ac:dyDescent="0.35">
      <c r="A54" s="29">
        <v>151</v>
      </c>
      <c r="B54" s="30">
        <v>220</v>
      </c>
      <c r="C54" s="587">
        <v>18</v>
      </c>
      <c r="D54" s="587"/>
    </row>
    <row r="55" spans="1:6" x14ac:dyDescent="0.35">
      <c r="A55" s="31">
        <v>221</v>
      </c>
      <c r="B55" s="32">
        <v>260</v>
      </c>
      <c r="C55" s="587">
        <v>20</v>
      </c>
      <c r="D55" s="587"/>
    </row>
    <row r="56" spans="1:6" x14ac:dyDescent="0.35">
      <c r="A56" s="585" t="s">
        <v>39</v>
      </c>
      <c r="B56" s="586"/>
      <c r="C56" s="587">
        <v>48</v>
      </c>
      <c r="D56" s="587"/>
    </row>
    <row r="57" spans="1:6" x14ac:dyDescent="0.35">
      <c r="A57" s="585" t="s">
        <v>40</v>
      </c>
      <c r="B57" s="586"/>
      <c r="C57" s="587">
        <v>60</v>
      </c>
      <c r="D57" s="587"/>
    </row>
    <row r="58" spans="1:6" x14ac:dyDescent="0.35">
      <c r="A58" s="585" t="s">
        <v>18</v>
      </c>
      <c r="B58" s="586"/>
      <c r="C58" s="587">
        <v>60</v>
      </c>
      <c r="D58" s="587"/>
    </row>
    <row r="59" spans="1:6" x14ac:dyDescent="0.35">
      <c r="A59" s="618" t="s">
        <v>41</v>
      </c>
      <c r="B59" s="619"/>
      <c r="C59" s="619"/>
      <c r="D59" s="620"/>
      <c r="E59" s="33"/>
      <c r="F59" s="34"/>
    </row>
    <row r="60" spans="1:6" x14ac:dyDescent="0.35">
      <c r="A60" s="597" t="s">
        <v>42</v>
      </c>
      <c r="B60" s="598"/>
      <c r="C60" s="598"/>
      <c r="D60" s="599"/>
      <c r="E60" s="35"/>
      <c r="F60" s="36"/>
    </row>
    <row r="61" spans="1:6" x14ac:dyDescent="0.35">
      <c r="A61" s="600"/>
      <c r="B61" s="601"/>
      <c r="C61" s="601"/>
      <c r="D61" s="602"/>
      <c r="E61" s="35"/>
      <c r="F61" s="36"/>
    </row>
    <row r="62" spans="1:6" x14ac:dyDescent="0.35">
      <c r="A62" t="s">
        <v>43</v>
      </c>
    </row>
    <row r="63" spans="1:6" x14ac:dyDescent="0.35">
      <c r="A63" t="s">
        <v>44</v>
      </c>
    </row>
    <row r="66" spans="1:12" x14ac:dyDescent="0.35">
      <c r="A66" t="s">
        <v>200</v>
      </c>
      <c r="F66" t="s">
        <v>310</v>
      </c>
    </row>
    <row r="67" spans="1:12" x14ac:dyDescent="0.35">
      <c r="A67" s="26" t="s">
        <v>190</v>
      </c>
      <c r="F67" s="183" t="s">
        <v>307</v>
      </c>
      <c r="G67" s="183"/>
      <c r="H67" s="183"/>
      <c r="I67" s="183" t="s">
        <v>308</v>
      </c>
      <c r="J67" s="183" t="s">
        <v>309</v>
      </c>
    </row>
    <row r="68" spans="1:12" x14ac:dyDescent="0.35">
      <c r="A68" s="26" t="s">
        <v>191</v>
      </c>
      <c r="F68" s="57" t="s">
        <v>277</v>
      </c>
      <c r="I68">
        <v>88</v>
      </c>
      <c r="J68">
        <v>38480</v>
      </c>
      <c r="K68" t="s">
        <v>283</v>
      </c>
    </row>
    <row r="69" spans="1:12" x14ac:dyDescent="0.35">
      <c r="A69" t="s">
        <v>192</v>
      </c>
      <c r="B69">
        <v>0.3</v>
      </c>
      <c r="C69" t="s">
        <v>193</v>
      </c>
      <c r="D69" s="161">
        <v>3</v>
      </c>
      <c r="F69" s="57" t="s">
        <v>275</v>
      </c>
      <c r="I69">
        <v>100</v>
      </c>
      <c r="J69">
        <v>43030</v>
      </c>
      <c r="K69" t="s">
        <v>285</v>
      </c>
    </row>
    <row r="70" spans="1:12" x14ac:dyDescent="0.35">
      <c r="A70" t="s">
        <v>194</v>
      </c>
      <c r="B70">
        <v>1</v>
      </c>
      <c r="C70" t="s">
        <v>193</v>
      </c>
      <c r="D70" s="161">
        <v>10</v>
      </c>
      <c r="F70" s="57" t="s">
        <v>276</v>
      </c>
      <c r="I70">
        <v>123</v>
      </c>
      <c r="J70">
        <v>47920</v>
      </c>
      <c r="K70" t="s">
        <v>284</v>
      </c>
    </row>
    <row r="71" spans="1:12" x14ac:dyDescent="0.35">
      <c r="A71" t="s">
        <v>195</v>
      </c>
      <c r="B71">
        <v>3.5</v>
      </c>
      <c r="C71" t="s">
        <v>193</v>
      </c>
      <c r="D71" s="161">
        <v>32</v>
      </c>
      <c r="K71" t="s">
        <v>286</v>
      </c>
      <c r="L71" t="s">
        <v>287</v>
      </c>
    </row>
    <row r="72" spans="1:12" x14ac:dyDescent="0.35">
      <c r="A72" t="s">
        <v>196</v>
      </c>
    </row>
    <row r="73" spans="1:12" x14ac:dyDescent="0.35">
      <c r="A73" t="s">
        <v>197</v>
      </c>
      <c r="F73" t="s">
        <v>316</v>
      </c>
    </row>
    <row r="75" spans="1:12" x14ac:dyDescent="0.35">
      <c r="F75" s="556" t="s">
        <v>279</v>
      </c>
      <c r="G75" s="556"/>
      <c r="H75" s="556"/>
      <c r="I75">
        <v>0.3</v>
      </c>
      <c r="J75">
        <v>92</v>
      </c>
      <c r="K75" s="164">
        <v>4.2</v>
      </c>
      <c r="L75" t="s">
        <v>278</v>
      </c>
    </row>
    <row r="76" spans="1:12" ht="15.5" x14ac:dyDescent="0.35">
      <c r="A76" s="198"/>
      <c r="B76" s="199"/>
      <c r="C76" s="199"/>
      <c r="D76" s="200"/>
      <c r="E76" s="200"/>
      <c r="G76" t="s">
        <v>281</v>
      </c>
      <c r="I76" t="s">
        <v>282</v>
      </c>
      <c r="K76" s="164"/>
      <c r="L76" t="s">
        <v>280</v>
      </c>
    </row>
    <row r="77" spans="1:12" x14ac:dyDescent="0.35">
      <c r="G77" t="s">
        <v>414</v>
      </c>
      <c r="H77" s="57"/>
      <c r="I77" t="s">
        <v>415</v>
      </c>
      <c r="K77" s="164"/>
    </row>
    <row r="78" spans="1:12" ht="16" thickBot="1" x14ac:dyDescent="0.4">
      <c r="A78" s="78" t="s">
        <v>328</v>
      </c>
      <c r="F78" s="127" t="s">
        <v>273</v>
      </c>
      <c r="H78" s="129" t="s">
        <v>288</v>
      </c>
    </row>
    <row r="79" spans="1:12" ht="15" customHeight="1" x14ac:dyDescent="0.35">
      <c r="B79" s="557" t="s">
        <v>157</v>
      </c>
      <c r="C79" s="557" t="s">
        <v>323</v>
      </c>
      <c r="F79" t="s">
        <v>274</v>
      </c>
      <c r="H79" s="57" t="s">
        <v>291</v>
      </c>
      <c r="I79" s="57">
        <v>1</v>
      </c>
      <c r="J79">
        <v>420</v>
      </c>
      <c r="K79" s="164">
        <v>30</v>
      </c>
      <c r="L79" t="s">
        <v>289</v>
      </c>
    </row>
    <row r="80" spans="1:12" x14ac:dyDescent="0.35">
      <c r="A80" s="560" t="s">
        <v>45</v>
      </c>
      <c r="B80" s="558"/>
      <c r="C80" s="558"/>
      <c r="F80" t="s">
        <v>311</v>
      </c>
      <c r="H80" s="6"/>
      <c r="I80" s="6"/>
    </row>
    <row r="81" spans="1:17" ht="21.75" customHeight="1" thickBot="1" x14ac:dyDescent="0.4">
      <c r="A81" s="561"/>
      <c r="B81" s="559"/>
      <c r="C81" s="559"/>
      <c r="E81" s="554" t="s">
        <v>306</v>
      </c>
      <c r="F81" s="554"/>
      <c r="G81" s="554"/>
      <c r="H81" s="554"/>
      <c r="I81" s="204" t="s">
        <v>312</v>
      </c>
      <c r="J81" s="555" t="s">
        <v>313</v>
      </c>
      <c r="K81" s="555"/>
      <c r="L81" s="204" t="s">
        <v>314</v>
      </c>
      <c r="M81" s="372" t="s">
        <v>347</v>
      </c>
      <c r="N81" s="372"/>
    </row>
    <row r="82" spans="1:17" x14ac:dyDescent="0.35">
      <c r="A82" s="37" t="s">
        <v>46</v>
      </c>
      <c r="B82" s="37">
        <v>12</v>
      </c>
      <c r="C82" s="37">
        <v>60</v>
      </c>
      <c r="F82" s="57" t="s">
        <v>277</v>
      </c>
      <c r="I82">
        <v>88</v>
      </c>
      <c r="J82">
        <f>I82*420</f>
        <v>36960</v>
      </c>
      <c r="L82" s="196">
        <v>5</v>
      </c>
      <c r="M82" s="164">
        <f>I82*L82</f>
        <v>440</v>
      </c>
    </row>
    <row r="83" spans="1:17" x14ac:dyDescent="0.35">
      <c r="A83" s="37" t="s">
        <v>421</v>
      </c>
      <c r="B83" s="37">
        <v>10</v>
      </c>
      <c r="C83" s="37">
        <v>90</v>
      </c>
      <c r="F83" s="57" t="s">
        <v>275</v>
      </c>
      <c r="I83">
        <v>100</v>
      </c>
      <c r="J83">
        <f t="shared" ref="J83:J84" si="0">I83*420</f>
        <v>42000</v>
      </c>
      <c r="L83" s="196">
        <v>5</v>
      </c>
      <c r="M83" s="164">
        <f t="shared" ref="M83:M84" si="1">I83*L83</f>
        <v>500</v>
      </c>
    </row>
    <row r="84" spans="1:17" x14ac:dyDescent="0.35">
      <c r="A84" s="37" t="s">
        <v>320</v>
      </c>
      <c r="B84" s="37">
        <v>10</v>
      </c>
      <c r="C84" s="37">
        <v>30</v>
      </c>
      <c r="F84" s="57" t="s">
        <v>276</v>
      </c>
      <c r="I84">
        <v>123</v>
      </c>
      <c r="J84">
        <f t="shared" si="0"/>
        <v>51660</v>
      </c>
      <c r="L84" s="196">
        <v>5</v>
      </c>
      <c r="M84" s="164">
        <f t="shared" si="1"/>
        <v>615</v>
      </c>
    </row>
    <row r="85" spans="1:17" x14ac:dyDescent="0.35">
      <c r="A85" s="37" t="s">
        <v>47</v>
      </c>
      <c r="B85" s="37">
        <v>40</v>
      </c>
      <c r="C85" s="37">
        <v>60</v>
      </c>
      <c r="L85" s="126" t="s">
        <v>290</v>
      </c>
    </row>
    <row r="86" spans="1:17" x14ac:dyDescent="0.35">
      <c r="A86" s="37" t="s">
        <v>49</v>
      </c>
      <c r="B86" s="37">
        <v>10</v>
      </c>
      <c r="C86" s="37">
        <v>80</v>
      </c>
      <c r="H86" t="s">
        <v>304</v>
      </c>
    </row>
    <row r="87" spans="1:17" x14ac:dyDescent="0.35">
      <c r="A87" s="37" t="s">
        <v>48</v>
      </c>
      <c r="B87" s="37">
        <v>15</v>
      </c>
      <c r="C87" s="37">
        <v>100</v>
      </c>
      <c r="H87" s="204" t="s">
        <v>305</v>
      </c>
    </row>
    <row r="88" spans="1:17" x14ac:dyDescent="0.35">
      <c r="A88" s="37" t="s">
        <v>321</v>
      </c>
      <c r="B88" s="37">
        <v>40</v>
      </c>
      <c r="C88" s="37">
        <v>200</v>
      </c>
    </row>
    <row r="89" spans="1:17" x14ac:dyDescent="0.35">
      <c r="A89" s="37" t="s">
        <v>324</v>
      </c>
      <c r="B89" s="37">
        <v>25</v>
      </c>
      <c r="C89" s="37">
        <v>300</v>
      </c>
    </row>
    <row r="90" spans="1:17" x14ac:dyDescent="0.35">
      <c r="A90" s="38" t="s">
        <v>325</v>
      </c>
    </row>
    <row r="91" spans="1:17" ht="15.5" x14ac:dyDescent="0.35">
      <c r="A91" s="201" t="s">
        <v>322</v>
      </c>
      <c r="K91" s="78" t="s">
        <v>441</v>
      </c>
      <c r="N91" s="332"/>
      <c r="O91" s="333">
        <v>42711</v>
      </c>
    </row>
    <row r="92" spans="1:17" ht="15" customHeight="1" x14ac:dyDescent="0.35">
      <c r="A92" s="201" t="s">
        <v>326</v>
      </c>
      <c r="L92" s="615" t="s">
        <v>442</v>
      </c>
      <c r="M92" s="615"/>
      <c r="N92" s="615"/>
      <c r="O92" s="243"/>
      <c r="P92" s="243"/>
      <c r="Q92" s="243"/>
    </row>
    <row r="93" spans="1:17" x14ac:dyDescent="0.35">
      <c r="A93" s="201" t="s">
        <v>327</v>
      </c>
      <c r="K93" s="308" t="s">
        <v>443</v>
      </c>
      <c r="L93" s="308" t="s">
        <v>444</v>
      </c>
      <c r="M93" s="308" t="s">
        <v>445</v>
      </c>
      <c r="N93" s="334" t="s">
        <v>446</v>
      </c>
      <c r="O93" s="308" t="s">
        <v>447</v>
      </c>
      <c r="P93" s="308" t="s">
        <v>448</v>
      </c>
    </row>
    <row r="94" spans="1:17" x14ac:dyDescent="0.35">
      <c r="A94" s="201" t="s">
        <v>317</v>
      </c>
      <c r="B94" s="201" t="s">
        <v>318</v>
      </c>
      <c r="C94" s="201"/>
      <c r="D94" s="201" t="s">
        <v>319</v>
      </c>
      <c r="F94" s="201"/>
      <c r="N94" s="332"/>
      <c r="P94" s="308" t="s">
        <v>449</v>
      </c>
    </row>
    <row r="95" spans="1:17" ht="30" customHeight="1" x14ac:dyDescent="0.35">
      <c r="A95" s="201" t="s">
        <v>330</v>
      </c>
      <c r="K95" s="335" t="s">
        <v>450</v>
      </c>
      <c r="L95" s="335" t="s">
        <v>451</v>
      </c>
      <c r="M95" s="335" t="s">
        <v>452</v>
      </c>
      <c r="N95" s="332">
        <v>3</v>
      </c>
      <c r="O95" t="s">
        <v>453</v>
      </c>
      <c r="P95">
        <v>50</v>
      </c>
      <c r="Q95" t="s">
        <v>454</v>
      </c>
    </row>
    <row r="96" spans="1:17" ht="30" customHeight="1" x14ac:dyDescent="0.35">
      <c r="A96" s="274" t="s">
        <v>422</v>
      </c>
      <c r="L96" s="335" t="s">
        <v>451</v>
      </c>
      <c r="M96" s="335" t="s">
        <v>452</v>
      </c>
      <c r="N96" s="332">
        <v>4.1500000000000004</v>
      </c>
      <c r="O96" t="s">
        <v>455</v>
      </c>
      <c r="P96">
        <v>50</v>
      </c>
      <c r="Q96" t="s">
        <v>454</v>
      </c>
    </row>
    <row r="97" spans="1:17" ht="30" customHeight="1" x14ac:dyDescent="0.35">
      <c r="L97" s="335" t="s">
        <v>451</v>
      </c>
      <c r="M97" s="335" t="s">
        <v>452</v>
      </c>
      <c r="N97" s="332">
        <v>3.1</v>
      </c>
      <c r="O97" t="s">
        <v>456</v>
      </c>
      <c r="P97">
        <v>50</v>
      </c>
      <c r="Q97" t="s">
        <v>454</v>
      </c>
    </row>
    <row r="98" spans="1:17" ht="30" customHeight="1" x14ac:dyDescent="0.35">
      <c r="D98" t="s">
        <v>409</v>
      </c>
      <c r="L98" s="335" t="s">
        <v>451</v>
      </c>
      <c r="M98" s="335" t="s">
        <v>452</v>
      </c>
      <c r="N98" s="332">
        <v>4</v>
      </c>
      <c r="O98" t="s">
        <v>457</v>
      </c>
      <c r="P98">
        <v>50</v>
      </c>
      <c r="Q98" t="s">
        <v>454</v>
      </c>
    </row>
    <row r="99" spans="1:17" x14ac:dyDescent="0.35">
      <c r="D99" t="s">
        <v>410</v>
      </c>
      <c r="L99" s="335"/>
      <c r="M99" s="336" t="s">
        <v>458</v>
      </c>
      <c r="N99" s="337">
        <f>AVERAGE(N95:N98)</f>
        <v>3.5625</v>
      </c>
      <c r="P99" s="26">
        <v>50</v>
      </c>
    </row>
    <row r="100" spans="1:17" x14ac:dyDescent="0.35">
      <c r="D100" s="307" t="s">
        <v>411</v>
      </c>
      <c r="E100" s="307"/>
      <c r="L100" s="335"/>
      <c r="N100" s="332"/>
    </row>
    <row r="101" spans="1:17" ht="30" customHeight="1" x14ac:dyDescent="0.35">
      <c r="L101" s="335" t="s">
        <v>451</v>
      </c>
      <c r="M101" s="335" t="s">
        <v>459</v>
      </c>
      <c r="N101" s="332">
        <v>50</v>
      </c>
      <c r="O101" t="s">
        <v>460</v>
      </c>
      <c r="P101">
        <v>900</v>
      </c>
      <c r="Q101" s="307" t="s">
        <v>461</v>
      </c>
    </row>
    <row r="102" spans="1:17" ht="30" customHeight="1" x14ac:dyDescent="0.35">
      <c r="D102" s="307">
        <v>2</v>
      </c>
      <c r="E102" s="307" t="s">
        <v>412</v>
      </c>
      <c r="L102" s="335" t="s">
        <v>451</v>
      </c>
      <c r="M102" s="335" t="s">
        <v>459</v>
      </c>
      <c r="N102" s="332">
        <v>60</v>
      </c>
      <c r="O102" t="s">
        <v>457</v>
      </c>
      <c r="P102">
        <v>900</v>
      </c>
      <c r="Q102" s="307" t="s">
        <v>461</v>
      </c>
    </row>
    <row r="103" spans="1:17" ht="30" customHeight="1" x14ac:dyDescent="0.35">
      <c r="D103" s="307">
        <v>2</v>
      </c>
      <c r="E103" s="307" t="s">
        <v>413</v>
      </c>
      <c r="L103" s="335" t="s">
        <v>451</v>
      </c>
      <c r="M103" s="335" t="s">
        <v>459</v>
      </c>
      <c r="N103" s="332">
        <v>35</v>
      </c>
      <c r="O103" t="s">
        <v>462</v>
      </c>
      <c r="P103">
        <v>900</v>
      </c>
      <c r="Q103" s="307" t="s">
        <v>461</v>
      </c>
    </row>
    <row r="104" spans="1:17" x14ac:dyDescent="0.35">
      <c r="L104" s="335"/>
      <c r="M104" s="336" t="s">
        <v>458</v>
      </c>
      <c r="N104" s="337">
        <f>AVERAGE(N101:N103)</f>
        <v>48.333333333333336</v>
      </c>
      <c r="P104" s="26">
        <v>900</v>
      </c>
    </row>
    <row r="105" spans="1:17" x14ac:dyDescent="0.35">
      <c r="L105" s="335"/>
      <c r="N105" s="332"/>
    </row>
    <row r="106" spans="1:17" ht="30" customHeight="1" x14ac:dyDescent="0.35">
      <c r="A106" t="s">
        <v>408</v>
      </c>
      <c r="L106" s="335" t="s">
        <v>451</v>
      </c>
      <c r="M106" s="335" t="s">
        <v>463</v>
      </c>
      <c r="N106" s="332">
        <v>80</v>
      </c>
      <c r="O106" t="s">
        <v>464</v>
      </c>
      <c r="P106">
        <v>1320</v>
      </c>
      <c r="Q106" s="307" t="s">
        <v>465</v>
      </c>
    </row>
    <row r="107" spans="1:17" ht="30" customHeight="1" x14ac:dyDescent="0.35">
      <c r="L107" s="335" t="s">
        <v>451</v>
      </c>
      <c r="M107" s="335" t="s">
        <v>463</v>
      </c>
      <c r="N107" s="332">
        <v>60</v>
      </c>
      <c r="O107" t="s">
        <v>457</v>
      </c>
      <c r="P107">
        <v>1320</v>
      </c>
      <c r="Q107" s="307" t="s">
        <v>465</v>
      </c>
    </row>
    <row r="108" spans="1:17" x14ac:dyDescent="0.35">
      <c r="L108" s="335"/>
      <c r="M108" s="336" t="s">
        <v>458</v>
      </c>
      <c r="N108" s="337">
        <f>AVERAGE(N106:N107)</f>
        <v>70</v>
      </c>
      <c r="P108" s="26">
        <v>1320</v>
      </c>
    </row>
    <row r="109" spans="1:17" x14ac:dyDescent="0.35">
      <c r="N109" s="332"/>
    </row>
    <row r="110" spans="1:17" ht="30" customHeight="1" x14ac:dyDescent="0.35">
      <c r="L110" s="335" t="s">
        <v>466</v>
      </c>
      <c r="M110" s="335" t="s">
        <v>467</v>
      </c>
      <c r="N110" s="332">
        <v>30</v>
      </c>
      <c r="O110" t="s">
        <v>468</v>
      </c>
      <c r="P110">
        <v>750</v>
      </c>
      <c r="Q110" s="307" t="s">
        <v>469</v>
      </c>
    </row>
    <row r="111" spans="1:17" ht="30" customHeight="1" x14ac:dyDescent="0.35">
      <c r="L111" s="335" t="s">
        <v>470</v>
      </c>
      <c r="M111" s="335" t="s">
        <v>467</v>
      </c>
      <c r="N111" s="332">
        <v>30</v>
      </c>
      <c r="O111" t="s">
        <v>460</v>
      </c>
      <c r="P111">
        <v>750</v>
      </c>
      <c r="Q111" s="307" t="s">
        <v>469</v>
      </c>
    </row>
    <row r="112" spans="1:17" ht="30" customHeight="1" x14ac:dyDescent="0.35">
      <c r="K112" s="6"/>
      <c r="L112" s="338" t="s">
        <v>471</v>
      </c>
      <c r="M112" s="335" t="s">
        <v>467</v>
      </c>
      <c r="N112" s="339">
        <v>21</v>
      </c>
      <c r="O112" s="6" t="s">
        <v>457</v>
      </c>
      <c r="P112">
        <v>750</v>
      </c>
      <c r="Q112" s="307" t="s">
        <v>469</v>
      </c>
    </row>
    <row r="113" spans="1:17" x14ac:dyDescent="0.35">
      <c r="K113" s="6"/>
      <c r="L113" s="338"/>
      <c r="M113" s="336" t="s">
        <v>458</v>
      </c>
      <c r="N113" s="340">
        <f>AVERAGE(N110:N112)</f>
        <v>27</v>
      </c>
      <c r="O113" s="6"/>
      <c r="P113" s="26">
        <v>750</v>
      </c>
    </row>
    <row r="114" spans="1:17" x14ac:dyDescent="0.35">
      <c r="K114" s="6"/>
      <c r="L114" s="338"/>
      <c r="M114" s="336"/>
      <c r="N114" s="340"/>
      <c r="O114" s="6"/>
      <c r="P114" s="26"/>
    </row>
    <row r="115" spans="1:17" x14ac:dyDescent="0.35">
      <c r="K115" t="s">
        <v>472</v>
      </c>
      <c r="L115" s="338"/>
      <c r="M115" s="336"/>
      <c r="N115" s="340"/>
      <c r="O115" s="6"/>
      <c r="P115" s="26"/>
    </row>
    <row r="116" spans="1:17" x14ac:dyDescent="0.35">
      <c r="K116" s="6" t="s">
        <v>473</v>
      </c>
      <c r="L116" s="338"/>
      <c r="M116" s="336"/>
      <c r="N116" s="340"/>
      <c r="O116" s="6"/>
      <c r="P116" s="26"/>
    </row>
    <row r="117" spans="1:17" x14ac:dyDescent="0.35">
      <c r="K117" s="6" t="s">
        <v>474</v>
      </c>
      <c r="L117" s="338"/>
      <c r="M117" s="336"/>
      <c r="N117" s="340"/>
      <c r="O117" s="6"/>
      <c r="P117" s="26"/>
    </row>
    <row r="118" spans="1:17" ht="15" thickBot="1" x14ac:dyDescent="0.4">
      <c r="K118" s="341" t="s">
        <v>475</v>
      </c>
      <c r="L118" s="342"/>
      <c r="M118" s="341"/>
      <c r="N118" s="343"/>
      <c r="O118" s="341"/>
      <c r="P118" s="341"/>
    </row>
    <row r="119" spans="1:17" ht="30" customHeight="1" thickTop="1" x14ac:dyDescent="0.35">
      <c r="K119" t="s">
        <v>476</v>
      </c>
      <c r="L119" s="335" t="s">
        <v>451</v>
      </c>
      <c r="M119" s="335" t="s">
        <v>467</v>
      </c>
      <c r="N119" s="332">
        <v>45</v>
      </c>
      <c r="O119" t="s">
        <v>460</v>
      </c>
      <c r="P119" s="57">
        <v>1100</v>
      </c>
      <c r="Q119" s="307" t="s">
        <v>469</v>
      </c>
    </row>
    <row r="120" spans="1:17" ht="30" customHeight="1" x14ac:dyDescent="0.35">
      <c r="L120" s="335" t="s">
        <v>451</v>
      </c>
      <c r="M120" s="335" t="s">
        <v>467</v>
      </c>
      <c r="N120" s="332">
        <v>25</v>
      </c>
      <c r="O120" t="s">
        <v>456</v>
      </c>
      <c r="P120" s="57">
        <v>1100</v>
      </c>
      <c r="Q120" s="307" t="s">
        <v>469</v>
      </c>
    </row>
    <row r="121" spans="1:17" ht="30" customHeight="1" x14ac:dyDescent="0.35">
      <c r="L121" s="335" t="s">
        <v>451</v>
      </c>
      <c r="M121" s="335" t="s">
        <v>467</v>
      </c>
      <c r="N121" s="332">
        <v>40</v>
      </c>
      <c r="O121" t="s">
        <v>464</v>
      </c>
      <c r="P121" s="57">
        <v>1100</v>
      </c>
      <c r="Q121" s="307" t="s">
        <v>469</v>
      </c>
    </row>
    <row r="122" spans="1:17" ht="30" customHeight="1" x14ac:dyDescent="0.35">
      <c r="L122" s="335" t="s">
        <v>451</v>
      </c>
      <c r="M122" s="335" t="s">
        <v>467</v>
      </c>
      <c r="N122" s="332">
        <v>45</v>
      </c>
      <c r="O122" t="s">
        <v>457</v>
      </c>
      <c r="P122" s="57">
        <v>1100</v>
      </c>
      <c r="Q122" s="307" t="s">
        <v>469</v>
      </c>
    </row>
    <row r="123" spans="1:17" x14ac:dyDescent="0.35">
      <c r="M123" s="336" t="s">
        <v>458</v>
      </c>
      <c r="N123" s="337">
        <f>AVERAGE(N119:N122)</f>
        <v>38.75</v>
      </c>
      <c r="P123" s="129">
        <v>1100</v>
      </c>
      <c r="Q123" s="308" t="s">
        <v>469</v>
      </c>
    </row>
    <row r="124" spans="1:17" x14ac:dyDescent="0.35">
      <c r="N124" s="332"/>
    </row>
    <row r="125" spans="1:17" ht="30" customHeight="1" x14ac:dyDescent="0.35">
      <c r="A125" t="s">
        <v>418</v>
      </c>
      <c r="L125" s="335" t="s">
        <v>451</v>
      </c>
      <c r="M125" s="335" t="s">
        <v>459</v>
      </c>
      <c r="N125" s="332">
        <v>55</v>
      </c>
      <c r="O125" t="s">
        <v>455</v>
      </c>
      <c r="P125">
        <v>1330</v>
      </c>
      <c r="Q125" s="307" t="s">
        <v>461</v>
      </c>
    </row>
    <row r="126" spans="1:17" x14ac:dyDescent="0.35">
      <c r="N126" s="332"/>
    </row>
    <row r="127" spans="1:17" x14ac:dyDescent="0.35">
      <c r="N127" s="332"/>
    </row>
    <row r="128" spans="1:17" x14ac:dyDescent="0.35">
      <c r="K128" t="s">
        <v>477</v>
      </c>
      <c r="N128" s="332"/>
    </row>
    <row r="129" spans="11:17" x14ac:dyDescent="0.35">
      <c r="K129" t="s">
        <v>478</v>
      </c>
      <c r="N129" s="332"/>
    </row>
    <row r="130" spans="11:17" x14ac:dyDescent="0.35">
      <c r="K130" t="s">
        <v>472</v>
      </c>
      <c r="L130" s="338"/>
      <c r="N130" s="332"/>
    </row>
    <row r="131" spans="11:17" ht="15" thickBot="1" x14ac:dyDescent="0.4">
      <c r="K131" s="341" t="s">
        <v>473</v>
      </c>
      <c r="L131" s="342"/>
      <c r="M131" s="341"/>
      <c r="N131" s="343"/>
      <c r="O131" s="341"/>
      <c r="P131" s="341"/>
    </row>
    <row r="132" spans="11:17" ht="30" customHeight="1" thickTop="1" x14ac:dyDescent="0.35">
      <c r="K132" s="344" t="s">
        <v>479</v>
      </c>
      <c r="L132" s="335" t="s">
        <v>480</v>
      </c>
      <c r="M132" s="335" t="s">
        <v>452</v>
      </c>
      <c r="N132" s="332">
        <v>6</v>
      </c>
      <c r="O132" t="s">
        <v>455</v>
      </c>
      <c r="P132">
        <v>70</v>
      </c>
      <c r="Q132" t="s">
        <v>454</v>
      </c>
    </row>
    <row r="133" spans="11:17" ht="30" customHeight="1" x14ac:dyDescent="0.35">
      <c r="K133" s="335" t="s">
        <v>486</v>
      </c>
      <c r="L133" s="335" t="s">
        <v>481</v>
      </c>
      <c r="M133" s="335" t="s">
        <v>452</v>
      </c>
      <c r="N133" s="332">
        <v>5.75</v>
      </c>
      <c r="O133" s="335" t="s">
        <v>482</v>
      </c>
      <c r="P133">
        <v>70</v>
      </c>
      <c r="Q133" t="s">
        <v>454</v>
      </c>
    </row>
    <row r="134" spans="11:17" ht="30" customHeight="1" x14ac:dyDescent="0.35">
      <c r="L134" s="335" t="s">
        <v>483</v>
      </c>
      <c r="M134" s="335" t="s">
        <v>452</v>
      </c>
      <c r="N134" s="332">
        <v>5</v>
      </c>
      <c r="O134" t="s">
        <v>484</v>
      </c>
      <c r="P134">
        <v>70</v>
      </c>
      <c r="Q134" t="s">
        <v>454</v>
      </c>
    </row>
    <row r="135" spans="11:17" x14ac:dyDescent="0.35">
      <c r="L135" s="335"/>
      <c r="M135" s="336" t="s">
        <v>458</v>
      </c>
      <c r="N135" s="332">
        <f>AVERAGE(N132:N134)</f>
        <v>5.583333333333333</v>
      </c>
    </row>
    <row r="136" spans="11:17" x14ac:dyDescent="0.35">
      <c r="N136" s="332"/>
    </row>
    <row r="137" spans="11:17" ht="30" customHeight="1" x14ac:dyDescent="0.35">
      <c r="L137" s="335" t="s">
        <v>480</v>
      </c>
      <c r="M137" s="335" t="s">
        <v>467</v>
      </c>
      <c r="N137" s="332">
        <v>40</v>
      </c>
      <c r="O137" t="s">
        <v>455</v>
      </c>
      <c r="P137">
        <v>850</v>
      </c>
      <c r="Q137" s="307" t="s">
        <v>469</v>
      </c>
    </row>
    <row r="138" spans="11:17" ht="30" customHeight="1" x14ac:dyDescent="0.35">
      <c r="L138" s="335" t="s">
        <v>481</v>
      </c>
      <c r="M138" s="335" t="s">
        <v>467</v>
      </c>
      <c r="N138" s="332">
        <v>39</v>
      </c>
      <c r="O138" t="s">
        <v>482</v>
      </c>
      <c r="P138">
        <v>850</v>
      </c>
      <c r="Q138" s="307" t="s">
        <v>469</v>
      </c>
    </row>
    <row r="139" spans="11:17" ht="30" customHeight="1" x14ac:dyDescent="0.35">
      <c r="L139" s="335" t="s">
        <v>485</v>
      </c>
      <c r="M139" s="335" t="s">
        <v>467</v>
      </c>
      <c r="N139" s="332">
        <v>50</v>
      </c>
      <c r="O139" t="s">
        <v>462</v>
      </c>
      <c r="P139">
        <v>850</v>
      </c>
      <c r="Q139" s="307" t="s">
        <v>469</v>
      </c>
    </row>
    <row r="140" spans="11:17" x14ac:dyDescent="0.35">
      <c r="L140" s="335"/>
      <c r="M140" s="336" t="s">
        <v>458</v>
      </c>
      <c r="N140" s="332">
        <f>AVERAGE(N137:N139)</f>
        <v>43</v>
      </c>
    </row>
    <row r="141" spans="11:17" x14ac:dyDescent="0.35">
      <c r="N141" s="332"/>
    </row>
    <row r="142" spans="11:17" ht="30" customHeight="1" x14ac:dyDescent="0.35">
      <c r="L142" s="335" t="s">
        <v>481</v>
      </c>
      <c r="M142" s="335" t="s">
        <v>459</v>
      </c>
      <c r="N142" s="332">
        <v>90</v>
      </c>
      <c r="O142" t="s">
        <v>482</v>
      </c>
      <c r="P142">
        <v>1250</v>
      </c>
      <c r="Q142" s="307" t="s">
        <v>461</v>
      </c>
    </row>
    <row r="143" spans="11:17" ht="30" customHeight="1" x14ac:dyDescent="0.35">
      <c r="L143" s="335" t="s">
        <v>485</v>
      </c>
      <c r="M143" s="335" t="s">
        <v>459</v>
      </c>
      <c r="N143" s="332">
        <v>85</v>
      </c>
      <c r="O143" t="s">
        <v>462</v>
      </c>
      <c r="P143">
        <v>1250</v>
      </c>
      <c r="Q143" s="307" t="s">
        <v>461</v>
      </c>
    </row>
    <row r="144" spans="11:17" ht="30" customHeight="1" x14ac:dyDescent="0.35">
      <c r="L144" s="335" t="s">
        <v>480</v>
      </c>
      <c r="M144" s="335" t="s">
        <v>459</v>
      </c>
      <c r="N144" s="332">
        <v>90</v>
      </c>
      <c r="O144" t="s">
        <v>455</v>
      </c>
      <c r="P144">
        <v>1250</v>
      </c>
      <c r="Q144" s="307" t="s">
        <v>461</v>
      </c>
    </row>
    <row r="145" spans="13:14" x14ac:dyDescent="0.35">
      <c r="M145" s="336" t="s">
        <v>458</v>
      </c>
      <c r="N145" s="332">
        <f>AVERAGE(N142:N144)</f>
        <v>88.333333333333329</v>
      </c>
    </row>
  </sheetData>
  <sheetProtection sheet="1" objects="1" scenarios="1"/>
  <sortState xmlns:xlrd2="http://schemas.microsoft.com/office/spreadsheetml/2017/richdata2" ref="K81:L100">
    <sortCondition ref="K76:K95"/>
  </sortState>
  <mergeCells count="133">
    <mergeCell ref="L92:N92"/>
    <mergeCell ref="A8:B8"/>
    <mergeCell ref="A9:B9"/>
    <mergeCell ref="A10:B10"/>
    <mergeCell ref="A11:B11"/>
    <mergeCell ref="A34:B34"/>
    <mergeCell ref="A35:B35"/>
    <mergeCell ref="A36:B36"/>
    <mergeCell ref="A15:B15"/>
    <mergeCell ref="A16:B16"/>
    <mergeCell ref="A27:B27"/>
    <mergeCell ref="A28:B28"/>
    <mergeCell ref="A29:B29"/>
    <mergeCell ref="A30:B30"/>
    <mergeCell ref="A31:B31"/>
    <mergeCell ref="A22:B22"/>
    <mergeCell ref="A23:B23"/>
    <mergeCell ref="A24:B24"/>
    <mergeCell ref="A25:B25"/>
    <mergeCell ref="A26:B26"/>
    <mergeCell ref="A18:B18"/>
    <mergeCell ref="A19:B19"/>
    <mergeCell ref="A20:B20"/>
    <mergeCell ref="A59:D59"/>
    <mergeCell ref="C6:D6"/>
    <mergeCell ref="C16:D16"/>
    <mergeCell ref="C14:D14"/>
    <mergeCell ref="C13:D13"/>
    <mergeCell ref="C12:D12"/>
    <mergeCell ref="C11:D11"/>
    <mergeCell ref="C19:D19"/>
    <mergeCell ref="C27:D27"/>
    <mergeCell ref="C10:D10"/>
    <mergeCell ref="C9:D9"/>
    <mergeCell ref="C8:D8"/>
    <mergeCell ref="C7:D7"/>
    <mergeCell ref="C23:D23"/>
    <mergeCell ref="C22:D22"/>
    <mergeCell ref="C21:D21"/>
    <mergeCell ref="C20:D20"/>
    <mergeCell ref="A6:B6"/>
    <mergeCell ref="C28:D28"/>
    <mergeCell ref="A7:B7"/>
    <mergeCell ref="A12:B12"/>
    <mergeCell ref="A13:B13"/>
    <mergeCell ref="A14:B14"/>
    <mergeCell ref="A21:B21"/>
    <mergeCell ref="E6:F6"/>
    <mergeCell ref="E7:F7"/>
    <mergeCell ref="E8:F8"/>
    <mergeCell ref="E9:F9"/>
    <mergeCell ref="E10:F10"/>
    <mergeCell ref="E11:F11"/>
    <mergeCell ref="E12:F12"/>
    <mergeCell ref="E13:F13"/>
    <mergeCell ref="E14:F14"/>
    <mergeCell ref="E17:F17"/>
    <mergeCell ref="E18:F18"/>
    <mergeCell ref="E19:F19"/>
    <mergeCell ref="E20:F20"/>
    <mergeCell ref="C26:D26"/>
    <mergeCell ref="C25:D25"/>
    <mergeCell ref="C24:D24"/>
    <mergeCell ref="C18:D18"/>
    <mergeCell ref="A60:D61"/>
    <mergeCell ref="E35:F35"/>
    <mergeCell ref="E36:F36"/>
    <mergeCell ref="C35:D35"/>
    <mergeCell ref="C32:D32"/>
    <mergeCell ref="C33:D33"/>
    <mergeCell ref="C34:D34"/>
    <mergeCell ref="C36:D36"/>
    <mergeCell ref="C37:D37"/>
    <mergeCell ref="A32:B32"/>
    <mergeCell ref="A33:B33"/>
    <mergeCell ref="E40:F40"/>
    <mergeCell ref="A37:B37"/>
    <mergeCell ref="A38:B38"/>
    <mergeCell ref="A39:B39"/>
    <mergeCell ref="A40:B40"/>
    <mergeCell ref="C39:D39"/>
    <mergeCell ref="C38:D38"/>
    <mergeCell ref="C55:D55"/>
    <mergeCell ref="C53:D53"/>
    <mergeCell ref="C54:D54"/>
    <mergeCell ref="C50:D50"/>
    <mergeCell ref="C51:D51"/>
    <mergeCell ref="A57:B57"/>
    <mergeCell ref="C57:D57"/>
    <mergeCell ref="A58:B58"/>
    <mergeCell ref="C58:D58"/>
    <mergeCell ref="A49:B49"/>
    <mergeCell ref="C49:D49"/>
    <mergeCell ref="C31:D31"/>
    <mergeCell ref="A17:B17"/>
    <mergeCell ref="C29:D29"/>
    <mergeCell ref="C30:D30"/>
    <mergeCell ref="C17:D17"/>
    <mergeCell ref="C52:D52"/>
    <mergeCell ref="E30:F30"/>
    <mergeCell ref="E31:F31"/>
    <mergeCell ref="E32:F32"/>
    <mergeCell ref="E33:F33"/>
    <mergeCell ref="E34:F34"/>
    <mergeCell ref="E15:F15"/>
    <mergeCell ref="E16:F16"/>
    <mergeCell ref="A56:B56"/>
    <mergeCell ref="C56:D56"/>
    <mergeCell ref="C15:D15"/>
    <mergeCell ref="E81:H81"/>
    <mergeCell ref="J81:K81"/>
    <mergeCell ref="M81:N81"/>
    <mergeCell ref="F75:H75"/>
    <mergeCell ref="B79:B81"/>
    <mergeCell ref="A80:A81"/>
    <mergeCell ref="C79:C81"/>
    <mergeCell ref="G2:G5"/>
    <mergeCell ref="H3:J3"/>
    <mergeCell ref="E4:F5"/>
    <mergeCell ref="H4:J4"/>
    <mergeCell ref="A47:D48"/>
    <mergeCell ref="E21:F21"/>
    <mergeCell ref="E22:F22"/>
    <mergeCell ref="E23:F23"/>
    <mergeCell ref="E24:F24"/>
    <mergeCell ref="E25:F25"/>
    <mergeCell ref="E26:F26"/>
    <mergeCell ref="E27:F27"/>
    <mergeCell ref="E28:F28"/>
    <mergeCell ref="E29:F29"/>
    <mergeCell ref="E37:F37"/>
    <mergeCell ref="E38:F38"/>
    <mergeCell ref="E39:F39"/>
  </mergeCells>
  <hyperlinks>
    <hyperlink ref="A96" r:id="rId1" xr:uid="{00000000-0004-0000-0800-000000000000}"/>
    <hyperlink ref="L132" r:id="rId2" xr:uid="{00000000-0004-0000-0800-000001000000}"/>
  </hyperlinks>
  <pageMargins left="0.7" right="0.7" top="0.75" bottom="0.75" header="0.3" footer="0.3"/>
  <pageSetup orientation="portrait" r:id="rId3"/>
  <drawing r:id="rId4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6"/>
  <dimension ref="A1:W95"/>
  <sheetViews>
    <sheetView showZeros="0" topLeftCell="A22" zoomScale="90" zoomScaleNormal="90" workbookViewId="0">
      <selection activeCell="D78" sqref="D78"/>
    </sheetView>
  </sheetViews>
  <sheetFormatPr defaultColWidth="8.81640625" defaultRowHeight="14.5" x14ac:dyDescent="0.35"/>
  <cols>
    <col min="1" max="1" width="24.1796875" customWidth="1"/>
    <col min="2" max="2" width="11.453125" customWidth="1"/>
    <col min="3" max="3" width="22.81640625" customWidth="1"/>
    <col min="4" max="4" width="28.81640625" customWidth="1"/>
    <col min="5" max="5" width="14" customWidth="1"/>
    <col min="6" max="6" width="10.453125" customWidth="1"/>
    <col min="7" max="7" width="12.1796875" customWidth="1"/>
    <col min="8" max="8" width="14.1796875" customWidth="1"/>
    <col min="13" max="13" width="12.81640625" customWidth="1"/>
    <col min="14" max="14" width="23.453125" customWidth="1"/>
    <col min="15" max="15" width="31" customWidth="1"/>
    <col min="16" max="16" width="24.81640625" customWidth="1"/>
    <col min="17" max="17" width="22.453125" customWidth="1"/>
    <col min="18" max="18" width="21.81640625" customWidth="1"/>
    <col min="19" max="19" width="22.1796875" customWidth="1"/>
    <col min="20" max="20" width="24.453125" customWidth="1"/>
    <col min="21" max="21" width="25.453125" customWidth="1"/>
    <col min="22" max="22" width="15.81640625" customWidth="1"/>
  </cols>
  <sheetData>
    <row r="1" spans="1:23" x14ac:dyDescent="0.35">
      <c r="A1" t="s">
        <v>92</v>
      </c>
      <c r="C1" t="s">
        <v>93</v>
      </c>
      <c r="L1" t="s">
        <v>95</v>
      </c>
    </row>
    <row r="2" spans="1:23" ht="15" thickBot="1" x14ac:dyDescent="0.4">
      <c r="C2" t="s">
        <v>99</v>
      </c>
      <c r="L2" t="s">
        <v>96</v>
      </c>
    </row>
    <row r="3" spans="1:23" ht="84" customHeight="1" x14ac:dyDescent="0.35">
      <c r="F3" s="87" t="s">
        <v>1</v>
      </c>
    </row>
    <row r="4" spans="1:23" ht="15" thickBot="1" x14ac:dyDescent="0.4">
      <c r="F4" s="88"/>
      <c r="K4" t="s">
        <v>116</v>
      </c>
      <c r="O4" s="113"/>
      <c r="P4" s="114"/>
      <c r="Q4" s="623"/>
      <c r="R4" s="623"/>
      <c r="S4" s="623"/>
    </row>
    <row r="5" spans="1:23" ht="15.75" customHeight="1" thickBot="1" x14ac:dyDescent="0.4">
      <c r="F5" s="88"/>
      <c r="K5" t="s">
        <v>98</v>
      </c>
      <c r="L5" s="383" t="s">
        <v>5</v>
      </c>
      <c r="M5" s="384"/>
      <c r="N5" s="81" t="s">
        <v>103</v>
      </c>
      <c r="O5" s="81" t="s">
        <v>104</v>
      </c>
      <c r="P5" s="81" t="s">
        <v>105</v>
      </c>
      <c r="Q5" s="81" t="s">
        <v>106</v>
      </c>
      <c r="R5" s="81" t="s">
        <v>107</v>
      </c>
      <c r="S5" s="81" t="s">
        <v>108</v>
      </c>
      <c r="T5" s="81" t="s">
        <v>109</v>
      </c>
      <c r="U5" s="115" t="s">
        <v>110</v>
      </c>
      <c r="V5" s="92"/>
      <c r="W5" s="92"/>
    </row>
    <row r="6" spans="1:23" ht="16" thickBot="1" x14ac:dyDescent="0.4">
      <c r="C6" s="1" t="s">
        <v>2</v>
      </c>
      <c r="D6" s="2"/>
      <c r="E6" s="2"/>
      <c r="F6" s="89"/>
      <c r="G6" s="565" t="s">
        <v>3</v>
      </c>
      <c r="H6" s="565"/>
      <c r="I6" s="566"/>
      <c r="K6" s="107" t="s">
        <v>97</v>
      </c>
      <c r="L6" s="621">
        <f>Inventory!$A$18</f>
        <v>0</v>
      </c>
      <c r="M6" s="622"/>
      <c r="N6" t="str">
        <f t="array" ref="N6">IFERROR(INDEX($D$9:$D$43,SMALL(IF($C$9:$C$43=$L$6,ROW($C$9:$C$43)-ROW($C$9)+1),COLUMNS($N6:N6))),"")</f>
        <v/>
      </c>
      <c r="O6" t="str">
        <f t="array" ref="O6">IFERROR(INDEX($D$9:$D$43,SMALL(IF($C$9:$C$43=$L$6,ROW($C$9:$C$43)-ROW($C$9)+1),COLUMNS($N6:O6))),"")</f>
        <v/>
      </c>
      <c r="P6" t="str">
        <f t="array" ref="P6">IFERROR(INDEX($D$9:$D$43,SMALL(IF($C$9:$C$43=$L$6,ROW($C$9:$C$43)-ROW($C$9)+1),COLUMNS($N6:P6))),"")</f>
        <v/>
      </c>
      <c r="Q6" t="str">
        <f t="array" ref="Q6">IFERROR(INDEX($D$9:$D$43,SMALL(IF($C$9:$C$43=$L$6,ROW($C$9:$C$43)-ROW($C$9)+1),COLUMNS($N6:Q6))),"")</f>
        <v/>
      </c>
      <c r="R6" t="str">
        <f t="array" ref="R6">IFERROR(INDEX($D$9:$D$43,SMALL(IF($C$9:$C$43=$L$6,ROW($C$9:$C$43)-ROW($C$9)+1),COLUMNS($N6:R6))),"")</f>
        <v/>
      </c>
      <c r="S6" t="str">
        <f t="array" ref="S6">IFERROR(INDEX($D$9:$D$43,SMALL(IF($C$9:$C$43=$L$6,ROW($C$9:$C$43)-ROW($C$9)+1),COLUMNS($N6:S6))),"")</f>
        <v/>
      </c>
      <c r="T6" t="str">
        <f t="array" ref="T6">IFERROR(INDEX($D$9:$D$43,SMALL(IF($C$9:$C$43=$L$6,ROW($C$9:$C$43)-ROW($C$9)+1),COLUMNS($N6:T6))),"")</f>
        <v/>
      </c>
      <c r="U6" t="str">
        <f t="array" ref="U6">IFERROR(INDEX($D$9:$D$43,SMALL(IF($C$9:$C$43=$L$6,ROW($C$9:$C$43)-ROW($C$9)+1),COLUMNS($N6:U6))),"")</f>
        <v/>
      </c>
      <c r="V6" t="str">
        <f t="array" ref="V6">IFERROR(INDEX($D$9:$D$43,SMALL(IF($C$9:$C$43=$L$6,ROW($C$9:$C$43)-ROW($C$9)+1),COLUMNS($N6:V6))),"")</f>
        <v/>
      </c>
      <c r="W6" t="str">
        <f t="array" ref="W6">IFERROR(INDEX($D$9:$D$43,SMALL(IF($C$9:$C$43=$L$6,ROW($C$9:$C$43)-ROW($C$9)+1),COLUMNS($N6:W6))),"")</f>
        <v/>
      </c>
    </row>
    <row r="7" spans="1:23" ht="16.5" customHeight="1" thickBot="1" x14ac:dyDescent="0.4">
      <c r="C7" s="3"/>
      <c r="D7" s="5"/>
      <c r="E7" s="90" t="s">
        <v>90</v>
      </c>
      <c r="G7" s="571" t="s">
        <v>4</v>
      </c>
      <c r="H7" s="571"/>
      <c r="I7" s="572"/>
      <c r="K7" s="107" t="s">
        <v>111</v>
      </c>
      <c r="L7" s="621">
        <f>Inventory!$A$19</f>
        <v>0</v>
      </c>
      <c r="M7" s="622"/>
      <c r="N7" t="str">
        <f t="array" ref="N7">IFERROR(INDEX($D$9:$D$43,SMALL(IF($C$9:$C$43=$L$7,ROW($C$9:$C$43)-ROW($C$9)+1),COLUMNS($N7:N7))),"")</f>
        <v/>
      </c>
      <c r="O7" t="str">
        <f t="array" ref="O7">IFERROR(INDEX($D$9:$D$43,SMALL(IF($C$9:$C$43=$L$7,ROW($C$9:$C$43)-ROW($C$9)+1),COLUMNS($N7:O7))),"")</f>
        <v/>
      </c>
      <c r="P7" t="str">
        <f t="array" ref="P7">IFERROR(INDEX($D$9:$D$43,SMALL(IF($C$9:$C$43=$L$7,ROW($C$9:$C$43)-ROW($C$9)+1),COLUMNS($N7:P7))),"")</f>
        <v/>
      </c>
      <c r="Q7" t="str">
        <f t="array" ref="Q7">IFERROR(INDEX($D$9:$D$43,SMALL(IF($C$9:$C$43=$L$7,ROW($C$9:$C$43)-ROW($C$9)+1),COLUMNS($N7:Q7))),"")</f>
        <v/>
      </c>
      <c r="R7" t="str">
        <f t="array" ref="R7">IFERROR(INDEX($D$9:$D$43,SMALL(IF($C$9:$C$43=$L$7,ROW($C$9:$C$43)-ROW($C$9)+1),COLUMNS($N7:R7))),"")</f>
        <v/>
      </c>
      <c r="S7" t="str">
        <f t="array" ref="S7">IFERROR(INDEX($D$9:$D$43,SMALL(IF($C$9:$C$43=$L$7,ROW($C$9:$C$43)-ROW($C$9)+1),COLUMNS($N7:S7))),"")</f>
        <v/>
      </c>
      <c r="T7" t="str">
        <f t="array" ref="T7">IFERROR(INDEX($D$9:$D$43,SMALL(IF($C$9:$C$43=$L$7,ROW($C$9:$C$43)-ROW($C$9)+1),COLUMNS($N7:T7))),"")</f>
        <v/>
      </c>
      <c r="U7" t="str">
        <f t="array" ref="U7">IFERROR(INDEX($D$9:$D$43,SMALL(IF($C$9:$C$43=$L$7,ROW($C$9:$C$43)-ROW($C$9)+1),COLUMNS($N7:U7))),"")</f>
        <v/>
      </c>
    </row>
    <row r="8" spans="1:23" ht="16" thickBot="1" x14ac:dyDescent="0.4">
      <c r="A8" s="81" t="s">
        <v>94</v>
      </c>
      <c r="C8" s="81" t="s">
        <v>5</v>
      </c>
      <c r="D8" s="81" t="s">
        <v>6</v>
      </c>
      <c r="E8" s="97" t="s">
        <v>89</v>
      </c>
      <c r="F8" s="89" t="s">
        <v>91</v>
      </c>
      <c r="G8" s="7" t="s">
        <v>7</v>
      </c>
      <c r="H8" s="8" t="s">
        <v>8</v>
      </c>
      <c r="I8" s="8" t="s">
        <v>9</v>
      </c>
      <c r="K8" s="107" t="s">
        <v>112</v>
      </c>
      <c r="L8" s="621">
        <f>Inventory!$A$20</f>
        <v>0</v>
      </c>
      <c r="M8" s="622"/>
      <c r="N8" t="str">
        <f t="array" ref="N8">IFERROR(INDEX($D$9:$D$43,SMALL(IF($C$9:$C$43=$L$8,ROW($C$9:$C$43)-ROW($C$9)+1),COLUMNS($N8:N8))),"")</f>
        <v/>
      </c>
      <c r="O8" t="str">
        <f t="array" ref="O8">IFERROR(INDEX($D$9:$D$43,SMALL(IF($C$9:$C$43=$L$8,ROW($C$9:$C$43)-ROW($C$9)+1),COLUMNS($N8:O8))),"")</f>
        <v/>
      </c>
      <c r="P8" t="str">
        <f t="array" ref="P8">IFERROR(INDEX($D$9:$D$43,SMALL(IF($C$9:$C$43=$L$8,ROW($C$9:$C$43)-ROW($C$9)+1),COLUMNS($N8:P8))),"")</f>
        <v/>
      </c>
      <c r="Q8" t="str">
        <f t="array" ref="Q8">IFERROR(INDEX($D$9:$D$43,SMALL(IF($C$9:$C$43=$L$8,ROW($C$9:$C$43)-ROW($C$9)+1),COLUMNS($N8:Q8))),"")</f>
        <v/>
      </c>
      <c r="R8" t="str">
        <f t="array" ref="R8">IFERROR(INDEX($D$9:$D$43,SMALL(IF($C$9:$C$43=$L$8,ROW($C$9:$C$43)-ROW($C$9)+1),COLUMNS($N8:R8))),"")</f>
        <v/>
      </c>
      <c r="S8" t="str">
        <f t="array" ref="S8">IFERROR(INDEX($D$9:$D$43,SMALL(IF($C$9:$C$43=$L$8,ROW($C$9:$C$43)-ROW($C$9)+1),COLUMNS($N8:S8))),"")</f>
        <v/>
      </c>
      <c r="T8" t="str">
        <f t="array" ref="T8">IFERROR(INDEX($D$9:$D$43,SMALL(IF($C$9:$C$43=$L$8,ROW($C$9:$C$43)-ROW($C$9)+1),COLUMNS($N8:T8))),"")</f>
        <v/>
      </c>
      <c r="U8" t="str">
        <f t="array" ref="U8">IFERROR(INDEX($D$9:$D$43,SMALL(IF($C$9:$C$43=$L$8,ROW($C$9:$C$43)-ROW($C$9)+1),COLUMNS($N8:U8))),"")</f>
        <v/>
      </c>
    </row>
    <row r="9" spans="1:23" ht="15" thickBot="1" x14ac:dyDescent="0.4">
      <c r="A9" s="84" t="s">
        <v>10</v>
      </c>
      <c r="C9" s="90" t="s">
        <v>10</v>
      </c>
      <c r="D9" s="95" t="s">
        <v>11</v>
      </c>
      <c r="E9" s="91">
        <v>1200</v>
      </c>
      <c r="F9" s="9">
        <v>120</v>
      </c>
      <c r="G9" s="101">
        <v>104</v>
      </c>
      <c r="H9" s="11">
        <v>1.7</v>
      </c>
      <c r="I9" s="11">
        <v>88</v>
      </c>
      <c r="K9" s="107" t="s">
        <v>113</v>
      </c>
      <c r="L9" s="621">
        <f>Inventory!$A$21</f>
        <v>0</v>
      </c>
      <c r="M9" s="622"/>
      <c r="N9" t="str">
        <f t="array" ref="N9">IFERROR(INDEX($D$9:$D$43,SMALL(IF($C$9:$C$43=$L$9,ROW($C$9:$C$43)-ROW($C$9)+1),COLUMNS($N9:N9))),"")</f>
        <v/>
      </c>
      <c r="O9" t="str">
        <f t="array" ref="O9">IFERROR(INDEX($D$9:$D$43,SMALL(IF($C$9:$C$43=$L$9,ROW($C$9:$C$43)-ROW($C$9)+1),COLUMNS($N9:O9))),"")</f>
        <v/>
      </c>
      <c r="P9" t="str">
        <f t="array" ref="P9">IFERROR(INDEX($D$9:$D$43,SMALL(IF($C$9:$C$43=$L$9,ROW($C$9:$C$43)-ROW($C$9)+1),COLUMNS($N9:P9))),"")</f>
        <v/>
      </c>
      <c r="Q9" t="str">
        <f t="array" ref="Q9">IFERROR(INDEX($D$9:$D$43,SMALL(IF($C$9:$C$43=$L$9,ROW($C$9:$C$43)-ROW($C$9)+1),COLUMNS($N9:Q9))),"")</f>
        <v/>
      </c>
      <c r="R9" t="str">
        <f t="array" ref="R9">IFERROR(INDEX($D$9:$D$43,SMALL(IF($C$9:$C$43=$L$9,ROW($C$9:$C$43)-ROW($C$9)+1),COLUMNS($N9:R9))),"")</f>
        <v/>
      </c>
      <c r="S9" t="str">
        <f t="array" ref="S9">IFERROR(INDEX($D$9:$D$43,SMALL(IF($C$9:$C$43=$L$9,ROW($C$9:$C$43)-ROW($C$9)+1),COLUMNS($N9:S9))),"")</f>
        <v/>
      </c>
      <c r="T9" t="str">
        <f t="array" ref="T9">IFERROR(INDEX($D$9:$D$43,SMALL(IF($C$9:$C$43=$L$9,ROW($C$9:$C$43)-ROW($C$9)+1),COLUMNS($N9:T9))),"")</f>
        <v/>
      </c>
      <c r="U9" t="str">
        <f t="array" ref="U9">IFERROR(INDEX($D$9:$D$43,SMALL(IF($C$9:$C$43=$L$9,ROW($C$9:$C$43)-ROW($C$9)+1),COLUMNS($N9:U9))),"")</f>
        <v/>
      </c>
    </row>
    <row r="10" spans="1:23" ht="15" thickBot="1" x14ac:dyDescent="0.4">
      <c r="A10" s="84" t="s">
        <v>82</v>
      </c>
      <c r="C10" s="93" t="s">
        <v>10</v>
      </c>
      <c r="D10" s="96" t="s">
        <v>12</v>
      </c>
      <c r="E10" s="94">
        <v>600</v>
      </c>
      <c r="F10" s="9">
        <v>50</v>
      </c>
      <c r="G10" s="13">
        <v>77</v>
      </c>
      <c r="H10" s="11">
        <v>1.2</v>
      </c>
      <c r="I10" s="11">
        <v>88</v>
      </c>
      <c r="K10" s="107" t="s">
        <v>114</v>
      </c>
      <c r="L10" s="621">
        <f>Inventory!$A$22</f>
        <v>0</v>
      </c>
      <c r="M10" s="622"/>
      <c r="N10" t="str">
        <f t="array" ref="N10">IFERROR(INDEX($D$9:$D$43,SMALL(IF($C$9:$C$43=$L$10,ROW($C$9:$C$43)-ROW($C$9)+1),COLUMNS($N10:N10))),"")</f>
        <v/>
      </c>
      <c r="O10" t="str">
        <f t="array" ref="O10">IFERROR(INDEX($D$9:$D$43,SMALL(IF($C$9:$C$43=$L$10,ROW($C$9:$C$43)-ROW($C$9)+1),COLUMNS($N10:O10))),"")</f>
        <v/>
      </c>
      <c r="P10" t="str">
        <f t="array" ref="P10">IFERROR(INDEX($D$9:$D$43,SMALL(IF($C$9:$C$43=$L$10,ROW($C$9:$C$43)-ROW($C$9)+1),COLUMNS($N10:P10))),"")</f>
        <v/>
      </c>
      <c r="Q10" t="str">
        <f t="array" ref="Q10">IFERROR(INDEX($D$9:$D$43,SMALL(IF($C$9:$C$43=$L$10,ROW($C$9:$C$43)-ROW($C$9)+1),COLUMNS($N10:Q10))),"")</f>
        <v/>
      </c>
      <c r="R10" t="str">
        <f t="array" ref="R10">IFERROR(INDEX($D$9:$D$43,SMALL(IF($C$9:$C$43=$L$10,ROW($C$9:$C$43)-ROW($C$9)+1),COLUMNS($N10:R10))),"")</f>
        <v/>
      </c>
      <c r="S10" t="str">
        <f t="array" ref="S10">IFERROR(INDEX($D$9:$D$43,SMALL(IF($C$9:$C$43=$L$10,ROW($C$9:$C$43)-ROW($C$9)+1),COLUMNS($N10:S10))),"")</f>
        <v/>
      </c>
      <c r="T10" t="str">
        <f t="array" ref="T10">IFERROR(INDEX($D$9:$D$43,SMALL(IF($C$9:$C$43=$L$10,ROW($C$9:$C$43)-ROW($C$9)+1),COLUMNS($N10:T10))),"")</f>
        <v/>
      </c>
      <c r="U10" t="str">
        <f t="array" ref="U10">IFERROR(INDEX($D$9:$D$43,SMALL(IF($C$9:$C$43=$L$10,ROW($C$9:$C$43)-ROW($C$9)+1),COLUMNS($N10:U10))),"")</f>
        <v/>
      </c>
    </row>
    <row r="11" spans="1:23" ht="15" thickBot="1" x14ac:dyDescent="0.4">
      <c r="A11" s="84" t="s">
        <v>100</v>
      </c>
      <c r="C11" s="93" t="s">
        <v>10</v>
      </c>
      <c r="D11" s="96" t="s">
        <v>13</v>
      </c>
      <c r="E11" s="94">
        <v>1000</v>
      </c>
      <c r="F11" s="9">
        <v>70</v>
      </c>
      <c r="G11" s="13">
        <v>65</v>
      </c>
      <c r="H11" s="11">
        <v>1.1000000000000001</v>
      </c>
      <c r="I11" s="11">
        <v>92</v>
      </c>
      <c r="K11" s="107" t="s">
        <v>115</v>
      </c>
      <c r="L11" s="621">
        <f>Inventory!$A$23</f>
        <v>0</v>
      </c>
      <c r="M11" s="622"/>
      <c r="N11" t="str">
        <f t="array" ref="N11">IFERROR(INDEX($D$9:$D$43,SMALL(IF($C$9:$C$43=$L$11,ROW($C$9:$C$43)-ROW($C$9)+1),COLUMNS($N11:N11))),"")</f>
        <v/>
      </c>
      <c r="O11" t="str">
        <f t="array" ref="O11">IFERROR(INDEX($D$9:$D$43,SMALL(IF($C$9:$C$43=$L$11,ROW($C$9:$C$43)-ROW($C$9)+1),COLUMNS($N11:O11))),"")</f>
        <v/>
      </c>
      <c r="P11" t="str">
        <f t="array" ref="P11">IFERROR(INDEX($D$9:$D$43,SMALL(IF($C$9:$C$43=$L$11,ROW($C$9:$C$43)-ROW($C$9)+1),COLUMNS($N11:P11))),"")</f>
        <v/>
      </c>
      <c r="Q11" t="str">
        <f t="array" ref="Q11">IFERROR(INDEX($D$9:$D$43,SMALL(IF($C$9:$C$43=$L$11,ROW($C$9:$C$43)-ROW($C$9)+1),COLUMNS($N11:Q11))),"")</f>
        <v/>
      </c>
      <c r="R11" t="str">
        <f t="array" ref="R11">IFERROR(INDEX($D$9:$D$43,SMALL(IF($C$9:$C$43=$L$11,ROW($C$9:$C$43)-ROW($C$9)+1),COLUMNS($N11:R11))),"")</f>
        <v/>
      </c>
      <c r="S11" t="str">
        <f t="array" ref="S11">IFERROR(INDEX($D$9:$D$43,SMALL(IF($C$9:$C$43=$L$11,ROW($C$9:$C$43)-ROW($C$9)+1),COLUMNS($N11:S11))),"")</f>
        <v/>
      </c>
      <c r="T11" t="str">
        <f t="array" ref="T11">IFERROR(INDEX($D$9:$D$43,SMALL(IF($C$9:$C$43=$L$11,ROW($C$9:$C$43)-ROW($C$9)+1),COLUMNS($N11:T11))),"")</f>
        <v/>
      </c>
      <c r="U11" t="str">
        <f t="array" ref="U11">IFERROR(INDEX($D$9:$D$43,SMALL(IF($C$9:$C$43=$L$11,ROW($C$9:$C$43)-ROW($C$9)+1),COLUMNS($N11:U11))),"")</f>
        <v/>
      </c>
    </row>
    <row r="12" spans="1:23" x14ac:dyDescent="0.35">
      <c r="A12" s="84" t="s">
        <v>85</v>
      </c>
      <c r="C12" s="93" t="s">
        <v>82</v>
      </c>
      <c r="D12" s="96" t="s">
        <v>83</v>
      </c>
      <c r="E12" s="94">
        <v>1660</v>
      </c>
      <c r="F12" s="9">
        <v>120</v>
      </c>
      <c r="G12" s="13">
        <v>51</v>
      </c>
      <c r="H12" s="11">
        <v>0.84</v>
      </c>
      <c r="I12" s="11">
        <v>87</v>
      </c>
    </row>
    <row r="13" spans="1:23" x14ac:dyDescent="0.35">
      <c r="A13" s="84" t="s">
        <v>101</v>
      </c>
      <c r="C13" s="93" t="s">
        <v>82</v>
      </c>
      <c r="D13" s="96" t="s">
        <v>86</v>
      </c>
      <c r="E13" s="94">
        <v>850</v>
      </c>
      <c r="F13" s="9">
        <v>60</v>
      </c>
      <c r="G13" s="13">
        <v>56</v>
      </c>
      <c r="H13" s="11">
        <v>0.9</v>
      </c>
      <c r="I13" s="11">
        <v>83</v>
      </c>
    </row>
    <row r="14" spans="1:23" x14ac:dyDescent="0.35">
      <c r="A14" s="84" t="s">
        <v>24</v>
      </c>
      <c r="C14" s="93" t="s">
        <v>82</v>
      </c>
      <c r="D14" s="96" t="s">
        <v>84</v>
      </c>
      <c r="E14" s="94">
        <v>330</v>
      </c>
      <c r="F14" s="9">
        <v>40</v>
      </c>
      <c r="G14" s="13">
        <v>83</v>
      </c>
      <c r="H14" s="11">
        <v>1.3</v>
      </c>
      <c r="I14" s="11">
        <v>83</v>
      </c>
    </row>
    <row r="15" spans="1:23" x14ac:dyDescent="0.35">
      <c r="A15" s="84" t="s">
        <v>102</v>
      </c>
      <c r="C15" s="93" t="s">
        <v>100</v>
      </c>
      <c r="D15" s="96" t="s">
        <v>75</v>
      </c>
      <c r="E15" s="94">
        <v>1400</v>
      </c>
      <c r="F15" s="9">
        <v>120</v>
      </c>
      <c r="G15" s="12">
        <v>65</v>
      </c>
      <c r="H15" s="11">
        <v>1.1000000000000001</v>
      </c>
      <c r="I15" s="11">
        <v>87</v>
      </c>
    </row>
    <row r="16" spans="1:23" x14ac:dyDescent="0.35">
      <c r="A16" s="85" t="s">
        <v>14</v>
      </c>
      <c r="C16" s="93" t="s">
        <v>100</v>
      </c>
      <c r="D16" s="96" t="s">
        <v>74</v>
      </c>
      <c r="E16" s="94">
        <v>1400</v>
      </c>
      <c r="F16" s="9">
        <v>120</v>
      </c>
      <c r="G16" s="12">
        <v>80</v>
      </c>
      <c r="H16" s="13">
        <v>1.3</v>
      </c>
      <c r="I16" s="13">
        <v>87</v>
      </c>
    </row>
    <row r="17" spans="1:20" x14ac:dyDescent="0.35">
      <c r="A17" s="85" t="s">
        <v>16</v>
      </c>
      <c r="C17" s="93" t="s">
        <v>100</v>
      </c>
      <c r="D17" s="96" t="s">
        <v>76</v>
      </c>
      <c r="E17" s="94">
        <v>1400</v>
      </c>
      <c r="F17" s="9">
        <v>120</v>
      </c>
      <c r="G17" s="12">
        <v>88</v>
      </c>
      <c r="H17" s="11">
        <v>1.5</v>
      </c>
      <c r="I17" s="11">
        <v>87</v>
      </c>
      <c r="L17" s="110"/>
    </row>
    <row r="18" spans="1:20" x14ac:dyDescent="0.35">
      <c r="A18" s="84" t="s">
        <v>28</v>
      </c>
      <c r="C18" s="93" t="s">
        <v>100</v>
      </c>
      <c r="D18" s="96" t="s">
        <v>77</v>
      </c>
      <c r="E18" s="94">
        <v>1400</v>
      </c>
      <c r="F18" s="9">
        <v>120</v>
      </c>
      <c r="G18" s="13">
        <v>97</v>
      </c>
      <c r="H18" s="11">
        <v>1.6</v>
      </c>
      <c r="I18" s="11">
        <v>87</v>
      </c>
      <c r="L18" s="110"/>
    </row>
    <row r="19" spans="1:20" ht="15" thickBot="1" x14ac:dyDescent="0.4">
      <c r="A19" s="86" t="s">
        <v>17</v>
      </c>
      <c r="C19" s="93" t="s">
        <v>100</v>
      </c>
      <c r="D19" s="96" t="s">
        <v>78</v>
      </c>
      <c r="E19" s="94">
        <v>1400</v>
      </c>
      <c r="F19" s="9">
        <v>120</v>
      </c>
      <c r="G19" s="12">
        <v>102</v>
      </c>
      <c r="H19" s="11">
        <v>1.65</v>
      </c>
      <c r="I19" s="11">
        <v>87</v>
      </c>
    </row>
    <row r="20" spans="1:20" x14ac:dyDescent="0.35">
      <c r="C20" s="93" t="s">
        <v>100</v>
      </c>
      <c r="D20" s="96" t="s">
        <v>79</v>
      </c>
      <c r="E20" s="94">
        <v>1400</v>
      </c>
      <c r="F20" s="9">
        <v>120</v>
      </c>
      <c r="G20" s="13">
        <v>108</v>
      </c>
      <c r="H20" s="11">
        <v>1.7</v>
      </c>
      <c r="I20" s="11">
        <v>87</v>
      </c>
      <c r="L20" s="109"/>
    </row>
    <row r="21" spans="1:20" x14ac:dyDescent="0.35">
      <c r="C21" s="93" t="s">
        <v>100</v>
      </c>
      <c r="D21" s="96" t="s">
        <v>80</v>
      </c>
      <c r="E21" s="94">
        <v>1400</v>
      </c>
      <c r="F21" s="9">
        <v>120</v>
      </c>
      <c r="G21" s="13">
        <v>119</v>
      </c>
      <c r="H21" s="11">
        <v>1.9</v>
      </c>
      <c r="I21" s="11">
        <v>87</v>
      </c>
      <c r="L21" s="111"/>
      <c r="M21" s="112"/>
      <c r="N21" s="112"/>
      <c r="O21" s="112"/>
      <c r="P21" s="112"/>
      <c r="Q21" s="112"/>
      <c r="R21" s="112"/>
      <c r="S21" s="112"/>
      <c r="T21" s="112"/>
    </row>
    <row r="22" spans="1:20" x14ac:dyDescent="0.35">
      <c r="C22" s="93" t="s">
        <v>100</v>
      </c>
      <c r="D22" s="96" t="s">
        <v>81</v>
      </c>
      <c r="E22" s="94">
        <v>1400</v>
      </c>
      <c r="F22" s="9">
        <v>120</v>
      </c>
      <c r="G22" s="13">
        <v>130</v>
      </c>
      <c r="H22" s="11">
        <v>2.1</v>
      </c>
      <c r="I22" s="11">
        <v>87</v>
      </c>
      <c r="L22" s="116"/>
    </row>
    <row r="23" spans="1:20" x14ac:dyDescent="0.35">
      <c r="C23" s="93" t="s">
        <v>85</v>
      </c>
      <c r="D23" s="96" t="s">
        <v>83</v>
      </c>
      <c r="E23" s="94">
        <v>1100</v>
      </c>
      <c r="F23" s="9">
        <v>100</v>
      </c>
      <c r="G23" s="13">
        <v>51</v>
      </c>
      <c r="H23" s="11">
        <v>0.84</v>
      </c>
      <c r="I23" s="11">
        <v>87</v>
      </c>
      <c r="L23" s="117"/>
    </row>
    <row r="24" spans="1:20" x14ac:dyDescent="0.35">
      <c r="C24" s="93" t="s">
        <v>85</v>
      </c>
      <c r="D24" s="96" t="s">
        <v>86</v>
      </c>
      <c r="E24" s="94">
        <v>650</v>
      </c>
      <c r="F24" s="9">
        <v>50</v>
      </c>
      <c r="G24" s="13">
        <v>77</v>
      </c>
      <c r="H24" s="11">
        <v>0.9</v>
      </c>
      <c r="I24" s="11">
        <v>83</v>
      </c>
      <c r="L24" s="108"/>
    </row>
    <row r="25" spans="1:20" x14ac:dyDescent="0.35">
      <c r="C25" s="93" t="s">
        <v>85</v>
      </c>
      <c r="D25" s="96" t="s">
        <v>84</v>
      </c>
      <c r="E25" s="94">
        <v>225</v>
      </c>
      <c r="F25" s="9">
        <v>40</v>
      </c>
      <c r="G25" s="13">
        <v>83</v>
      </c>
      <c r="H25" s="13">
        <v>1.3</v>
      </c>
      <c r="I25" s="13">
        <v>83</v>
      </c>
    </row>
    <row r="26" spans="1:20" x14ac:dyDescent="0.35">
      <c r="C26" s="93" t="s">
        <v>101</v>
      </c>
      <c r="D26" s="96" t="s">
        <v>75</v>
      </c>
      <c r="E26" s="94">
        <v>900</v>
      </c>
      <c r="F26" s="9">
        <v>100</v>
      </c>
      <c r="G26" s="12">
        <v>100</v>
      </c>
      <c r="H26" s="11">
        <v>1.6</v>
      </c>
      <c r="I26" s="11">
        <v>87</v>
      </c>
    </row>
    <row r="27" spans="1:20" x14ac:dyDescent="0.35">
      <c r="C27" s="93" t="s">
        <v>101</v>
      </c>
      <c r="D27" s="96" t="s">
        <v>74</v>
      </c>
      <c r="E27" s="94">
        <v>900</v>
      </c>
      <c r="F27" s="9">
        <v>100</v>
      </c>
      <c r="G27" s="13">
        <v>111</v>
      </c>
      <c r="H27" s="11">
        <v>1.7</v>
      </c>
      <c r="I27" s="11">
        <v>87</v>
      </c>
    </row>
    <row r="28" spans="1:20" x14ac:dyDescent="0.35">
      <c r="C28" s="93" t="s">
        <v>101</v>
      </c>
      <c r="D28" s="96" t="s">
        <v>76</v>
      </c>
      <c r="E28" s="94">
        <v>900</v>
      </c>
      <c r="F28" s="9">
        <v>100</v>
      </c>
      <c r="G28" s="13">
        <v>116</v>
      </c>
      <c r="H28" s="13">
        <v>1.9</v>
      </c>
      <c r="I28" s="13">
        <v>87</v>
      </c>
    </row>
    <row r="29" spans="1:20" x14ac:dyDescent="0.35">
      <c r="C29" s="93" t="s">
        <v>101</v>
      </c>
      <c r="D29" s="96" t="s">
        <v>77</v>
      </c>
      <c r="E29" s="94">
        <v>900</v>
      </c>
      <c r="F29" s="9">
        <v>100</v>
      </c>
      <c r="G29" s="13">
        <v>123</v>
      </c>
      <c r="H29" s="11">
        <v>2</v>
      </c>
      <c r="I29" s="11">
        <v>87</v>
      </c>
    </row>
    <row r="30" spans="1:20" x14ac:dyDescent="0.35">
      <c r="C30" s="93" t="s">
        <v>101</v>
      </c>
      <c r="D30" s="96" t="s">
        <v>78</v>
      </c>
      <c r="E30" s="94">
        <v>900</v>
      </c>
      <c r="F30" s="9">
        <v>100</v>
      </c>
      <c r="G30" s="13">
        <v>130</v>
      </c>
      <c r="H30" s="11">
        <v>2.1</v>
      </c>
      <c r="I30" s="11">
        <v>87</v>
      </c>
    </row>
    <row r="31" spans="1:20" x14ac:dyDescent="0.35">
      <c r="C31" s="93" t="s">
        <v>101</v>
      </c>
      <c r="D31" s="96" t="s">
        <v>79</v>
      </c>
      <c r="E31" s="94">
        <v>900</v>
      </c>
      <c r="F31" s="9">
        <v>100</v>
      </c>
      <c r="G31" s="13">
        <v>144</v>
      </c>
      <c r="H31" s="13">
        <v>2.2000000000000002</v>
      </c>
      <c r="I31" s="13">
        <v>87</v>
      </c>
    </row>
    <row r="32" spans="1:20" x14ac:dyDescent="0.35">
      <c r="C32" s="93" t="s">
        <v>24</v>
      </c>
      <c r="D32" s="96" t="s">
        <v>26</v>
      </c>
      <c r="E32" s="94">
        <v>150</v>
      </c>
      <c r="F32" s="20">
        <v>15</v>
      </c>
      <c r="G32" s="13">
        <v>117</v>
      </c>
      <c r="H32" s="11">
        <v>2</v>
      </c>
      <c r="I32" s="11">
        <v>56</v>
      </c>
    </row>
    <row r="33" spans="3:9" x14ac:dyDescent="0.35">
      <c r="C33" s="93" t="s">
        <v>24</v>
      </c>
      <c r="D33" s="96" t="s">
        <v>27</v>
      </c>
      <c r="E33" s="94">
        <v>30</v>
      </c>
      <c r="F33" s="20">
        <v>4</v>
      </c>
      <c r="G33" s="13">
        <v>117</v>
      </c>
      <c r="H33" s="11">
        <v>2</v>
      </c>
      <c r="I33" s="11">
        <v>56</v>
      </c>
    </row>
    <row r="34" spans="3:9" x14ac:dyDescent="0.35">
      <c r="C34" s="93" t="s">
        <v>102</v>
      </c>
      <c r="D34" s="96" t="s">
        <v>25</v>
      </c>
      <c r="E34" s="94">
        <v>120</v>
      </c>
      <c r="F34" s="20">
        <v>20</v>
      </c>
      <c r="G34" s="13">
        <v>117</v>
      </c>
      <c r="H34" s="11">
        <v>2</v>
      </c>
      <c r="I34" s="11">
        <v>56</v>
      </c>
    </row>
    <row r="35" spans="3:9" x14ac:dyDescent="0.35">
      <c r="C35" s="93" t="s">
        <v>14</v>
      </c>
      <c r="D35" s="96" t="s">
        <v>15</v>
      </c>
      <c r="E35" s="98">
        <v>1100</v>
      </c>
      <c r="F35" s="9">
        <v>120</v>
      </c>
      <c r="G35" s="13">
        <v>51</v>
      </c>
      <c r="H35" s="11">
        <v>0.82</v>
      </c>
      <c r="I35" s="11">
        <v>85</v>
      </c>
    </row>
    <row r="36" spans="3:9" x14ac:dyDescent="0.35">
      <c r="C36" s="93" t="s">
        <v>16</v>
      </c>
      <c r="D36" s="96" t="s">
        <v>15</v>
      </c>
      <c r="E36" s="98">
        <v>400</v>
      </c>
      <c r="F36" s="9">
        <v>120</v>
      </c>
      <c r="G36" s="13">
        <v>40</v>
      </c>
      <c r="H36" s="102">
        <v>0.85</v>
      </c>
      <c r="I36" s="102">
        <v>83</v>
      </c>
    </row>
    <row r="37" spans="3:9" x14ac:dyDescent="0.35">
      <c r="C37" s="93" t="s">
        <v>28</v>
      </c>
      <c r="D37" s="6" t="s">
        <v>29</v>
      </c>
      <c r="E37" s="94">
        <v>100</v>
      </c>
      <c r="F37" s="20">
        <v>20</v>
      </c>
      <c r="G37" s="13">
        <v>110</v>
      </c>
      <c r="H37" s="11">
        <v>1.8</v>
      </c>
      <c r="I37" s="11">
        <v>57</v>
      </c>
    </row>
    <row r="38" spans="3:9" x14ac:dyDescent="0.35">
      <c r="C38" s="93" t="s">
        <v>17</v>
      </c>
      <c r="D38" s="96" t="s">
        <v>18</v>
      </c>
      <c r="E38" s="94">
        <v>440</v>
      </c>
      <c r="F38" s="9">
        <v>60</v>
      </c>
      <c r="G38" s="13">
        <v>19</v>
      </c>
      <c r="H38" s="11">
        <v>0.3</v>
      </c>
      <c r="I38" s="11">
        <v>90</v>
      </c>
    </row>
    <row r="39" spans="3:9" x14ac:dyDescent="0.35">
      <c r="C39" s="93" t="s">
        <v>17</v>
      </c>
      <c r="D39" s="96" t="s">
        <v>19</v>
      </c>
      <c r="E39" s="94">
        <v>440</v>
      </c>
      <c r="F39" s="9">
        <v>48</v>
      </c>
      <c r="G39" s="13">
        <v>25</v>
      </c>
      <c r="H39" s="13">
        <v>0.41</v>
      </c>
      <c r="I39" s="13">
        <v>90</v>
      </c>
    </row>
    <row r="40" spans="3:9" x14ac:dyDescent="0.35">
      <c r="C40" s="93" t="s">
        <v>17</v>
      </c>
      <c r="D40" s="96" t="s">
        <v>20</v>
      </c>
      <c r="E40" s="94">
        <v>300</v>
      </c>
      <c r="F40" s="9">
        <v>25</v>
      </c>
      <c r="G40" s="13">
        <v>65</v>
      </c>
      <c r="H40" s="11">
        <v>1.1000000000000001</v>
      </c>
      <c r="I40" s="11">
        <v>90</v>
      </c>
    </row>
    <row r="41" spans="3:9" x14ac:dyDescent="0.35">
      <c r="C41" s="93" t="s">
        <v>17</v>
      </c>
      <c r="D41" s="96" t="s">
        <v>21</v>
      </c>
      <c r="E41" s="94">
        <v>154</v>
      </c>
      <c r="F41" s="9">
        <v>15</v>
      </c>
      <c r="G41" s="13">
        <v>65</v>
      </c>
      <c r="H41" s="11">
        <v>1.1000000000000001</v>
      </c>
      <c r="I41" s="11">
        <v>90</v>
      </c>
    </row>
    <row r="42" spans="3:9" x14ac:dyDescent="0.35">
      <c r="C42" s="93" t="s">
        <v>17</v>
      </c>
      <c r="D42" s="96" t="s">
        <v>22</v>
      </c>
      <c r="E42" s="94">
        <v>423</v>
      </c>
      <c r="F42" s="9">
        <v>60</v>
      </c>
      <c r="G42" s="13">
        <v>59</v>
      </c>
      <c r="H42" s="13">
        <v>0.97</v>
      </c>
      <c r="I42" s="13">
        <v>90</v>
      </c>
    </row>
    <row r="43" spans="3:9" ht="15" thickBot="1" x14ac:dyDescent="0.4">
      <c r="C43" s="103" t="s">
        <v>17</v>
      </c>
      <c r="D43" s="99" t="s">
        <v>23</v>
      </c>
      <c r="E43" s="104">
        <v>25</v>
      </c>
      <c r="F43" s="100">
        <v>6</v>
      </c>
      <c r="G43" s="24">
        <v>88</v>
      </c>
      <c r="H43" s="25">
        <v>1.4</v>
      </c>
      <c r="I43" s="25">
        <v>90</v>
      </c>
    </row>
    <row r="46" spans="3:9" ht="15" customHeight="1" x14ac:dyDescent="0.35"/>
    <row r="49" spans="1:7" ht="16" thickBot="1" x14ac:dyDescent="0.4">
      <c r="A49" s="78" t="s">
        <v>328</v>
      </c>
    </row>
    <row r="50" spans="1:7" ht="39" x14ac:dyDescent="0.35">
      <c r="A50" s="203" t="s">
        <v>45</v>
      </c>
      <c r="B50" s="197" t="s">
        <v>157</v>
      </c>
      <c r="C50" s="197" t="s">
        <v>323</v>
      </c>
    </row>
    <row r="51" spans="1:7" x14ac:dyDescent="0.35">
      <c r="A51" s="37" t="s">
        <v>487</v>
      </c>
      <c r="B51" s="202">
        <v>12</v>
      </c>
      <c r="C51" s="202">
        <v>60</v>
      </c>
    </row>
    <row r="52" spans="1:7" x14ac:dyDescent="0.35">
      <c r="A52" s="37" t="s">
        <v>419</v>
      </c>
      <c r="B52" s="202">
        <v>10</v>
      </c>
      <c r="C52" s="202">
        <v>90</v>
      </c>
    </row>
    <row r="53" spans="1:7" x14ac:dyDescent="0.35">
      <c r="A53" s="37" t="s">
        <v>320</v>
      </c>
      <c r="B53" s="202">
        <v>10</v>
      </c>
      <c r="C53" s="202">
        <v>30</v>
      </c>
    </row>
    <row r="54" spans="1:7" x14ac:dyDescent="0.35">
      <c r="A54" s="37" t="s">
        <v>47</v>
      </c>
      <c r="B54" s="202">
        <v>40</v>
      </c>
      <c r="C54" s="202">
        <v>60</v>
      </c>
    </row>
    <row r="55" spans="1:7" x14ac:dyDescent="0.35">
      <c r="A55" s="37" t="s">
        <v>49</v>
      </c>
      <c r="B55" s="202">
        <v>10</v>
      </c>
      <c r="C55" s="202">
        <v>80</v>
      </c>
    </row>
    <row r="56" spans="1:7" x14ac:dyDescent="0.35">
      <c r="A56" s="37" t="s">
        <v>48</v>
      </c>
      <c r="B56" s="202">
        <v>15</v>
      </c>
      <c r="C56" s="202">
        <v>100</v>
      </c>
    </row>
    <row r="57" spans="1:7" x14ac:dyDescent="0.35">
      <c r="A57" s="218" t="s">
        <v>321</v>
      </c>
      <c r="B57" s="202">
        <v>40</v>
      </c>
      <c r="C57" s="202">
        <v>200</v>
      </c>
    </row>
    <row r="58" spans="1:7" x14ac:dyDescent="0.35">
      <c r="A58" s="37" t="s">
        <v>329</v>
      </c>
      <c r="B58" s="202">
        <v>25</v>
      </c>
      <c r="C58" s="202">
        <v>300</v>
      </c>
    </row>
    <row r="59" spans="1:7" x14ac:dyDescent="0.35">
      <c r="A59" s="201"/>
      <c r="B59" s="214"/>
      <c r="C59" s="214"/>
    </row>
    <row r="60" spans="1:7" ht="15" thickBot="1" x14ac:dyDescent="0.4">
      <c r="A60" s="201" t="s">
        <v>346</v>
      </c>
      <c r="B60" s="214"/>
      <c r="C60" s="214"/>
    </row>
    <row r="61" spans="1:7" x14ac:dyDescent="0.35">
      <c r="A61" s="215" t="s">
        <v>45</v>
      </c>
      <c r="B61" s="216" t="s">
        <v>199</v>
      </c>
      <c r="C61" s="216" t="s">
        <v>73</v>
      </c>
      <c r="D61" s="217" t="s">
        <v>348</v>
      </c>
      <c r="E61" s="326" t="s">
        <v>440</v>
      </c>
      <c r="F61" s="331"/>
      <c r="G61" s="330"/>
    </row>
    <row r="62" spans="1:7" ht="29" x14ac:dyDescent="0.35">
      <c r="A62" s="219" t="s">
        <v>345</v>
      </c>
      <c r="B62" s="220">
        <v>0.22</v>
      </c>
      <c r="C62" s="220">
        <v>70</v>
      </c>
      <c r="D62" s="221" t="s">
        <v>491</v>
      </c>
      <c r="E62" s="327">
        <v>5.6</v>
      </c>
      <c r="F62" s="266"/>
      <c r="G62" s="267"/>
    </row>
    <row r="63" spans="1:7" ht="29" x14ac:dyDescent="0.35">
      <c r="A63" s="219" t="s">
        <v>198</v>
      </c>
      <c r="B63" s="220">
        <v>3.5</v>
      </c>
      <c r="C63" s="220">
        <v>1250</v>
      </c>
      <c r="D63" s="221" t="s">
        <v>492</v>
      </c>
      <c r="E63" s="327">
        <v>88</v>
      </c>
      <c r="F63" s="266"/>
      <c r="G63" s="267"/>
    </row>
    <row r="64" spans="1:7" ht="29.5" thickBot="1" x14ac:dyDescent="0.4">
      <c r="A64" s="271" t="s">
        <v>407</v>
      </c>
      <c r="B64" s="272">
        <v>3</v>
      </c>
      <c r="C64" s="272">
        <v>850</v>
      </c>
      <c r="D64" s="273" t="s">
        <v>493</v>
      </c>
      <c r="E64" s="328">
        <v>43</v>
      </c>
      <c r="F64" s="266"/>
      <c r="G64" s="267"/>
    </row>
    <row r="65" spans="1:7" ht="29.5" thickTop="1" x14ac:dyDescent="0.35">
      <c r="A65" s="219" t="s">
        <v>345</v>
      </c>
      <c r="B65" s="220">
        <v>0.22</v>
      </c>
      <c r="C65" s="220">
        <v>50</v>
      </c>
      <c r="D65" s="221" t="s">
        <v>494</v>
      </c>
      <c r="E65" s="327">
        <v>3.6</v>
      </c>
      <c r="F65" s="266"/>
      <c r="G65" s="267"/>
    </row>
    <row r="66" spans="1:7" ht="29" x14ac:dyDescent="0.35">
      <c r="A66" s="219" t="s">
        <v>198</v>
      </c>
      <c r="B66" s="220">
        <v>3.5</v>
      </c>
      <c r="C66" s="220">
        <v>900</v>
      </c>
      <c r="D66" s="221" t="s">
        <v>495</v>
      </c>
      <c r="E66" s="327">
        <v>48</v>
      </c>
      <c r="F66" s="266"/>
      <c r="G66" s="267"/>
    </row>
    <row r="67" spans="1:7" ht="29" x14ac:dyDescent="0.35">
      <c r="A67" s="219" t="s">
        <v>407</v>
      </c>
      <c r="B67" s="347">
        <v>3</v>
      </c>
      <c r="C67" s="347">
        <v>750</v>
      </c>
      <c r="D67" s="348" t="s">
        <v>496</v>
      </c>
      <c r="E67" s="349">
        <v>27</v>
      </c>
      <c r="F67" s="266"/>
      <c r="G67" s="267"/>
    </row>
    <row r="68" spans="1:7" ht="29.5" thickBot="1" x14ac:dyDescent="0.4">
      <c r="A68" s="350" t="s">
        <v>490</v>
      </c>
      <c r="B68" s="272">
        <v>5.2</v>
      </c>
      <c r="C68" s="272">
        <v>1320</v>
      </c>
      <c r="D68" s="273" t="s">
        <v>497</v>
      </c>
      <c r="E68" s="328">
        <v>70</v>
      </c>
      <c r="F68" s="266"/>
      <c r="G68" s="267"/>
    </row>
    <row r="69" spans="1:7" ht="29.5" thickTop="1" x14ac:dyDescent="0.35">
      <c r="A69" s="219" t="s">
        <v>198</v>
      </c>
      <c r="B69" s="220">
        <v>3.5</v>
      </c>
      <c r="C69" s="220">
        <v>1330</v>
      </c>
      <c r="D69" s="221" t="s">
        <v>498</v>
      </c>
      <c r="E69" s="329">
        <v>55</v>
      </c>
      <c r="F69" s="266"/>
      <c r="G69" s="267"/>
    </row>
    <row r="70" spans="1:7" ht="29.5" thickBot="1" x14ac:dyDescent="0.4">
      <c r="A70" s="271" t="s">
        <v>407</v>
      </c>
      <c r="B70" s="272">
        <v>3</v>
      </c>
      <c r="C70" s="272">
        <v>1100</v>
      </c>
      <c r="D70" s="273" t="s">
        <v>499</v>
      </c>
      <c r="E70" s="328">
        <v>39</v>
      </c>
      <c r="F70" s="266"/>
      <c r="G70" s="267"/>
    </row>
    <row r="71" spans="1:7" ht="15.5" thickTop="1" thickBot="1" x14ac:dyDescent="0.4">
      <c r="A71" s="351" t="s">
        <v>420</v>
      </c>
      <c r="B71" s="352">
        <v>1</v>
      </c>
      <c r="C71" s="352">
        <v>380</v>
      </c>
      <c r="D71" s="353" t="s">
        <v>500</v>
      </c>
      <c r="E71" s="353">
        <v>11</v>
      </c>
      <c r="F71" s="266"/>
      <c r="G71" s="267"/>
    </row>
    <row r="72" spans="1:7" ht="29.5" thickTop="1" x14ac:dyDescent="0.35">
      <c r="A72" s="268" t="s">
        <v>416</v>
      </c>
      <c r="B72" s="269">
        <v>0.3</v>
      </c>
      <c r="C72" s="269">
        <v>92</v>
      </c>
      <c r="D72" s="270" t="s">
        <v>501</v>
      </c>
      <c r="E72" s="270">
        <v>4.2</v>
      </c>
      <c r="F72" s="266"/>
      <c r="G72" s="267"/>
    </row>
    <row r="73" spans="1:7" ht="29" x14ac:dyDescent="0.35">
      <c r="A73" s="219" t="s">
        <v>417</v>
      </c>
      <c r="B73" s="220">
        <v>100</v>
      </c>
      <c r="C73" s="220">
        <v>42000</v>
      </c>
      <c r="D73" s="221" t="s">
        <v>502</v>
      </c>
      <c r="E73" s="221">
        <v>500</v>
      </c>
      <c r="F73" s="266"/>
      <c r="G73" s="267"/>
    </row>
    <row r="75" spans="1:7" x14ac:dyDescent="0.35">
      <c r="D75" s="162"/>
      <c r="E75" s="163"/>
      <c r="F75" s="163"/>
      <c r="G75" s="163"/>
    </row>
    <row r="76" spans="1:7" x14ac:dyDescent="0.35">
      <c r="D76" s="26"/>
    </row>
    <row r="77" spans="1:7" x14ac:dyDescent="0.35">
      <c r="G77" s="164"/>
    </row>
    <row r="78" spans="1:7" x14ac:dyDescent="0.35">
      <c r="D78" s="6"/>
      <c r="G78" s="164"/>
    </row>
    <row r="79" spans="1:7" x14ac:dyDescent="0.35">
      <c r="D79" s="57"/>
      <c r="G79" s="164"/>
    </row>
    <row r="80" spans="1:7" x14ac:dyDescent="0.35">
      <c r="D80" s="57"/>
      <c r="G80" s="164"/>
    </row>
    <row r="81" spans="2:9" x14ac:dyDescent="0.35">
      <c r="D81" s="57"/>
      <c r="G81" s="164"/>
    </row>
    <row r="82" spans="2:9" x14ac:dyDescent="0.35">
      <c r="D82" s="57"/>
      <c r="G82" s="164"/>
    </row>
    <row r="83" spans="2:9" x14ac:dyDescent="0.35">
      <c r="D83" s="57"/>
      <c r="G83" s="164"/>
    </row>
    <row r="84" spans="2:9" x14ac:dyDescent="0.35">
      <c r="D84" s="57"/>
      <c r="G84" s="164"/>
    </row>
    <row r="85" spans="2:9" x14ac:dyDescent="0.35">
      <c r="D85" s="57"/>
      <c r="G85" s="164"/>
    </row>
    <row r="86" spans="2:9" x14ac:dyDescent="0.35">
      <c r="B86" s="127"/>
      <c r="D86" s="129"/>
    </row>
    <row r="87" spans="2:9" x14ac:dyDescent="0.35">
      <c r="D87" s="57"/>
      <c r="E87" s="57"/>
      <c r="G87" s="164"/>
    </row>
    <row r="88" spans="2:9" x14ac:dyDescent="0.35">
      <c r="D88" s="6"/>
      <c r="E88" s="6"/>
    </row>
    <row r="89" spans="2:9" x14ac:dyDescent="0.35">
      <c r="B89" s="193"/>
      <c r="D89" s="194"/>
      <c r="E89" s="182"/>
      <c r="F89" s="195"/>
      <c r="G89" s="182"/>
      <c r="H89" s="195"/>
      <c r="I89" s="195"/>
    </row>
    <row r="90" spans="2:9" x14ac:dyDescent="0.35">
      <c r="D90" s="57"/>
      <c r="H90" s="196"/>
      <c r="I90" s="164"/>
    </row>
    <row r="91" spans="2:9" x14ac:dyDescent="0.35">
      <c r="D91" s="57"/>
      <c r="H91" s="196"/>
      <c r="I91" s="164"/>
    </row>
    <row r="92" spans="2:9" x14ac:dyDescent="0.35">
      <c r="D92" s="57"/>
      <c r="H92" s="196"/>
      <c r="I92" s="164"/>
    </row>
    <row r="93" spans="2:9" x14ac:dyDescent="0.35">
      <c r="H93" s="126"/>
    </row>
    <row r="95" spans="2:9" x14ac:dyDescent="0.35">
      <c r="D95" s="182"/>
    </row>
  </sheetData>
  <sheetProtection sheet="1" objects="1" scenarios="1"/>
  <mergeCells count="10">
    <mergeCell ref="L9:M9"/>
    <mergeCell ref="L10:M10"/>
    <mergeCell ref="L11:M11"/>
    <mergeCell ref="G6:I6"/>
    <mergeCell ref="G7:I7"/>
    <mergeCell ref="L5:M5"/>
    <mergeCell ref="L6:M6"/>
    <mergeCell ref="Q4:S4"/>
    <mergeCell ref="L7:M7"/>
    <mergeCell ref="L8:M8"/>
  </mergeCells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11</vt:i4>
      </vt:variant>
      <vt:variant>
        <vt:lpstr>Named Ranges</vt:lpstr>
      </vt:variant>
      <vt:variant>
        <vt:i4>6</vt:i4>
      </vt:variant>
    </vt:vector>
  </HeadingPairs>
  <TitlesOfParts>
    <vt:vector size="17" baseType="lpstr">
      <vt:lpstr>edited_sheet1</vt:lpstr>
      <vt:lpstr>Title</vt:lpstr>
      <vt:lpstr>Overview</vt:lpstr>
      <vt:lpstr>Inventory</vt:lpstr>
      <vt:lpstr>DeepBP_Facility</vt:lpstr>
      <vt:lpstr>DeepBP_Material</vt:lpstr>
      <vt:lpstr>DeepBP-L_Facility</vt:lpstr>
      <vt:lpstr>DeepBP-L_Material</vt:lpstr>
      <vt:lpstr>File_Report</vt:lpstr>
      <vt:lpstr>Data</vt:lpstr>
      <vt:lpstr>RefTable</vt:lpstr>
      <vt:lpstr>data</vt:lpstr>
      <vt:lpstr>dd_primary</vt:lpstr>
      <vt:lpstr>dd_secondary</vt:lpstr>
      <vt:lpstr>DeepBP_Material!Print_Area</vt:lpstr>
      <vt:lpstr>'DeepBP-L_Material'!Print_Area</vt:lpstr>
      <vt:lpstr>File_Report!Print_Area</vt:lpstr>
    </vt:vector>
  </TitlesOfParts>
  <Company>USDA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Bredeweg, Sally - NRCS, Portland, OR</dc:creator>
  <cp:lastModifiedBy>Caitlin Jeffrey</cp:lastModifiedBy>
  <cp:lastPrinted>2016-12-30T14:57:39Z</cp:lastPrinted>
  <dcterms:created xsi:type="dcterms:W3CDTF">2016-03-17T19:37:03Z</dcterms:created>
  <dcterms:modified xsi:type="dcterms:W3CDTF">2020-06-08T19:24:35Z</dcterms:modified>
</cp:coreProperties>
</file>